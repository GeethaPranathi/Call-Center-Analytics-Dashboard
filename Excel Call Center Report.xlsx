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hi\Downloads\"/>
    </mc:Choice>
  </mc:AlternateContent>
  <xr:revisionPtr revIDLastSave="0" documentId="13_ncr:1_{C130B7B6-2D57-4609-93E7-BE4236661FC4}" xr6:coauthVersionLast="47" xr6:coauthVersionMax="47" xr10:uidLastSave="{00000000-0000-0000-0000-000000000000}"/>
  <bookViews>
    <workbookView xWindow="-110" yWindow="-110" windowWidth="19420" windowHeight="10300" activeTab="3" xr2:uid="{26D4546B-D2A1-4444-8EAF-A6228F96F0C1}"/>
  </bookViews>
  <sheets>
    <sheet name="Pivots" sheetId="6" r:id="rId1"/>
    <sheet name="Data" sheetId="2" r:id="rId2"/>
    <sheet name="Customer center Report" sheetId="5"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134" r:id="rId5"/>
    <pivotCache cacheId="227" r:id="rId6"/>
    <pivotCache cacheId="414" r:id="rId7"/>
    <pivotCache cacheId="567" r:id="rId8"/>
    <pivotCache cacheId="735" r:id="rId9"/>
    <pivotCache cacheId="738" r:id="rId10"/>
    <pivotCache cacheId="741" r:id="rId11"/>
    <pivotCache cacheId="744" r:id="rId12"/>
    <pivotCache cacheId="747" r:id="rId13"/>
  </pivotCaches>
  <extLst>
    <ext xmlns:x14="http://schemas.microsoft.com/office/spreadsheetml/2009/9/main" uri="{876F7934-8845-4945-9796-88D515C7AA90}">
      <x14:pivotCaches>
        <pivotCache cacheId="12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07.sample-data-excel-portfolio-project.xlsx!calls"/>
          <x15:modelTable id="customers" name="customers" connection="WorksheetConnection_07.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9" i="5" l="1" a="1"/>
  <c r="P19" i="5" s="1"/>
  <c r="O20" i="5" a="1"/>
  <c r="O20" i="5" s="1"/>
  <c r="F37" i="6" a="1"/>
  <c r="F37" i="6" s="1"/>
  <c r="J34" i="6"/>
  <c r="J38"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1" i="6" l="1"/>
  <c r="J40" i="6"/>
  <c r="J39" i="6"/>
  <c r="I41" i="6"/>
  <c r="I40" i="6"/>
  <c r="I39" i="6"/>
  <c r="I38" i="6"/>
  <c r="I37" i="6"/>
  <c r="J3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1E128A-EA5D-4809-8DE6-B5411F7818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46717C6-9E9D-42B0-BE40-C77F52F12287}"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BD7BBD03-8E20-4F0C-AF9C-333164F4533E}"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<sst xmlns="http://schemas.openxmlformats.org/spreadsheetml/2006/main" count="3157" uniqueCount="1077">
  <si>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</si>
  <si>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</si>
  <si>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</si>
  <si>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</si>
  <si>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</si>
  <si>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</si>
  <si>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</si>
  <si>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</si>
  <si>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</si>
  <si>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</si>
  <si>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</si>
  <si>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</si>
  <si>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</si>
  <si>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</si>
  <si>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</si>
  <si>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</si>
  <si>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</si>
  <si>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</si>
  <si>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</si>
  <si>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</si>
  <si>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</si>
  <si>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</si>
  <si>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</si>
  <si>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</si>
  <si>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</si>
  <si>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</si>
  <si>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</si>
  <si>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</si>
  <si>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</si>
  <si>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</si>
  <si>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</si>
  <si>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</si>
  <si>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</si>
  <si>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</si>
  <si>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</si>
  <si>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</si>
  <si>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</si>
  <si>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</si>
  <si>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</si>
  <si>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</si>
  <si>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</si>
  <si>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</si>
  <si>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</si>
  <si>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</si>
  <si>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</si>
  <si>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</si>
  <si>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</si>
  <si>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</si>
  <si>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</si>
  <si>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</si>
  <si>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</si>
  <si>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</si>
  <si>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</si>
  <si>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</si>
  <si>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</si>
  <si>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</si>
  <si>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</si>
  <si>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</si>
  <si>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</si>
  <si>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</si>
  <si>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</si>
  <si>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</si>
  <si>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</si>
  <si>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</si>
  <si>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</si>
  <si>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</si>
  <si>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</si>
  <si>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</si>
  <si>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</si>
  <si>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</si>
  <si>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</si>
  <si>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</si>
  <si>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</si>
  <si>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</si>
  <si>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</si>
  <si>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</si>
  <si>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</si>
  <si>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</si>
  <si>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</si>
  <si>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</si>
  <si>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</si>
  <si>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</si>
  <si>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</si>
  <si>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</si>
  <si>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</si>
  <si>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</si>
  <si>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</si>
  <si>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</si>
  <si>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</si>
  <si>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</si>
  <si>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</si>
  <si>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</si>
  <si>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</si>
  <si>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</si>
  <si>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</si>
  <si>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</si>
  <si>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</si>
  <si>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</si>
  <si>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</si>
  <si>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</si>
  <si>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</si>
  <si>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</si>
  <si>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</si>
  <si>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</si>
  <si>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</si>
  <si>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</si>
  <si>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</si>
  <si>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</si>
  <si>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</si>
  <si>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</si>
  <si>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</si>
  <si>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</si>
  <si>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</si>
  <si>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</si>
  <si>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</si>
  <si>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</si>
  <si>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</si>
  <si>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</si>
  <si>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</si>
  <si>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</si>
  <si>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</si>
  <si>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</si>
  <si>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</si>
  <si>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</si>
  <si>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</si>
  <si>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</si>
  <si>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</si>
  <si>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</si>
  <si>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</si>
  <si>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</si>
  <si>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</si>
  <si>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</si>
  <si>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</si>
  <si>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</si>
  <si>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</si>
  <si>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</si>
  <si>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</si>
  <si>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</si>
  <si>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</si>
  <si>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</si>
  <si>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</si>
  <si>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</si>
  <si>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</si>
  <si>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</si>
  <si>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</si>
  <si>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</si>
  <si>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</si>
  <si>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</si>
  <si>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</si>
  <si>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</si>
  <si>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</si>
  <si>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</si>
  <si>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</si>
  <si>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</si>
  <si>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</si>
  <si>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</si>
  <si>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</si>
  <si>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</si>
  <si>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</si>
  <si>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</si>
  <si>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</si>
  <si>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</si>
  <si>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</si>
  <si>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</si>
  <si>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</si>
  <si>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</si>
  <si>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</si>
  <si>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</si>
  <si>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</si>
  <si>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</si>
  <si>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</si>
  <si>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</si>
  <si>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</si>
  <si>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</si>
  <si>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</si>
  <si>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</si>
  <si>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</si>
  <si>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</si>
  <si>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</si>
  <si>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</si>
  <si>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</si>
  <si>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</si>
  <si>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</si>
  <si>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</si>
  <si>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</si>
  <si>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</si>
  <si>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</si>
  <si>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</si>
  <si>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</si>
  <si>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</si>
  <si>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</si>
  <si>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</si>
  <si>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</si>
  <si>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</si>
  <si>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</si>
  <si>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</si>
  <si>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</si>
  <si>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</si>
  <si>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</si>
  <si>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</si>
  <si>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</si>
  <si>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</si>
  <si>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</si>
  <si>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</si>
  <si>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</si>
  <si>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</si>
  <si>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</si>
  <si>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</si>
  <si>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</si>
  <si>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</si>
  <si>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</si>
  <si>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</si>
  <si>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</si>
  <si>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</si>
  <si>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</si>
  <si>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</si>
  <si>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</si>
  <si>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</si>
  <si>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</si>
  <si>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</si>
  <si>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</si>
  <si>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</si>
  <si>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</si>
  <si>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</si>
  <si>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</si>
  <si>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</si>
  <si>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</si>
  <si>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</si>
  <si>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</si>
  <si>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</si>
  <si>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</si>
  <si>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</si>
  <si>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</si>
  <si>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</si>
  <si>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</si>
  <si>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</si>
  <si>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</si>
  <si>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</si>
  <si>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</si>
  <si>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</si>
  <si>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</si>
  <si>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</si>
  <si>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</si>
  <si>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</si>
  <si>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</si>
  <si>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</si>
  <si>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</si>
  <si>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</si>
  <si>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</si>
  <si>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</si>
  <si>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</si>
  <si>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</si>
  <si>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</si>
  <si>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</si>
  <si>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</si>
  <si>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</si>
  <si>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</si>
  <si>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</si>
  <si>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</si>
  <si>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</si>
  <si>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</si>
  <si>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</si>
  <si>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</si>
  <si>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</si>
  <si>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</si>
  <si>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</si>
  <si>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</si>
  <si>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</si>
  <si>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</si>
  <si>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</si>
  <si>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</si>
  <si>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</si>
  <si>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</si>
  <si>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</si>
  <si>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</si>
  <si>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</si>
  <si>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</si>
  <si>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</si>
  <si>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</si>
  <si>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</si>
  <si>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</si>
  <si>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</si>
  <si>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</si>
  <si>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</si>
  <si>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</si>
  <si>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</si>
  <si>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</si>
  <si>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</si>
  <si>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</si>
  <si>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</si>
  <si>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</si>
  <si>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</si>
  <si>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</si>
  <si>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</si>
  <si>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</si>
  <si>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</si>
  <si>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</si>
  <si>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</si>
  <si>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</si>
  <si>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</si>
  <si>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</si>
  <si>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</si>
  <si>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</si>
  <si>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</si>
  <si>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</si>
  <si>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</si>
  <si>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</si>
  <si>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</si>
  <si>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</si>
  <si>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</si>
  <si>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</si>
  <si>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</si>
  <si>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</si>
  <si>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</si>
  <si>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</si>
  <si>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</si>
  <si>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</si>
  <si>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</si>
  <si>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</si>
  <si>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</si>
  <si>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</si>
  <si>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</si>
  <si>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</si>
  <si>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</si>
  <si>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</si>
  <si>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</si>
  <si>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</si>
  <si>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</si>
  <si>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</si>
  <si>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</si>
  <si>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</si>
  <si>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</si>
  <si>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</si>
  <si>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</si>
  <si>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</si>
  <si>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</si>
  <si>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</si>
  <si>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</si>
  <si>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</si>
  <si>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</si>
  <si>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</si>
  <si>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</si>
  <si>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</si>
  <si>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</si>
  <si>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</si>
  <si>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</si>
  <si>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</si>
  <si>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</si>
  <si>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</si>
  <si>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</si>
  <si>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</si>
  <si>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</si>
  <si>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</si>
  <si>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</si>
  <si>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</si>
  <si>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</si>
  <si>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</si>
  <si>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</si>
  <si>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</si>
  <si>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</si>
  <si>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</si>
  <si>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</si>
  <si>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</si>
  <si>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</si>
  <si>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</si>
  <si>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</si>
  <si>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</si>
  <si>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</si>
  <si>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</si>
  <si>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</si>
  <si>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</si>
  <si>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</si>
  <si>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</si>
  <si>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</si>
  <si>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</si>
  <si>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</si>
  <si>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</si>
  <si>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</si>
  <si>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</si>
  <si>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</si>
  <si>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</si>
  <si>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</si>
  <si>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</si>
  <si>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</si>
  <si>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</si>
  <si>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</si>
  <si>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</si>
  <si>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</si>
  <si>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</si>
  <si>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</si>
  <si>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</si>
  <si>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</si>
  <si>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</si>
  <si>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</si>
  <si>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</si>
  <si>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</si>
  <si>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</si>
  <si>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</si>
  <si>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</si>
  <si>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</si>
  <si>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</si>
  <si>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</si>
  <si>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</si>
  <si>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</si>
  <si>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</si>
  <si>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</si>
  <si>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</si>
  <si>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</si>
  <si>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</si>
  <si>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</si>
  <si>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</si>
  <si>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</si>
  <si>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</si>
  <si>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</si>
  <si>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</si>
  <si>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</si>
  <si>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</si>
  <si>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</si>
  <si>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</si>
  <si>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</si>
  <si>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</si>
  <si>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</si>
  <si>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</si>
  <si>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</si>
  <si>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</si>
  <si>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</si>
  <si>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</si>
  <si>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</si>
  <si>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</si>
  <si>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</si>
  <si>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</si>
  <si>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</si>
  <si>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</si>
  <si>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</si>
  <si>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</si>
  <si>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</si>
  <si>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</si>
  <si>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</si>
  <si>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</si>
  <si>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</si>
  <si>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</si>
  <si>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</si>
  <si>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</si>
  <si>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</si>
  <si>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</si>
  <si>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</si>
  <si>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</si>
  <si>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</si>
  <si>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</si>
  <si>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</si>
  <si>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</si>
  <si>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</si>
  <si>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</si>
  <si>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</si>
  <si>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</si>
  <si>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</si>
  <si>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</si>
  <si>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</si>
  <si>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</si>
  <si>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</si>
  <si>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</si>
  <si>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</si>
  <si>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</si>
  <si>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</si>
  <si>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</si>
  <si>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</si>
  <si>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</si>
  <si>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</si>
  <si>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</si>
  <si>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</si>
  <si>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</si>
  <si>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</si>
  <si>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</si>
  <si>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</si>
  <si>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</si>
  <si>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</si>
  <si>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</si>
  <si>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</si>
  <si>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</si>
  <si>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</si>
  <si>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</si>
  <si>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</si>
  <si>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</si>
  <si>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</si>
  <si>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</si>
  <si>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</si>
  <si>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</si>
  <si>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</si>
  <si>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</si>
  <si>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</si>
  <si>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</si>
  <si>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</si>
  <si>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</si>
  <si>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</si>
  <si>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</si>
  <si>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</si>
  <si>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</si>
  <si>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</si>
  <si>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</si>
  <si>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</si>
  <si>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</si>
  <si>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</si>
  <si>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</si>
  <si>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</si>
  <si>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</si>
  <si>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</si>
  <si>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</si>
  <si>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</si>
  <si>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</si>
  <si>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</si>
  <si>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</si>
  <si>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</si>
  <si>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</si>
  <si>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</si>
  <si>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</si>
  <si>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</si>
  <si>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</si>
  <si>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</si>
  <si>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</si>
  <si>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</si>
  <si>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</si>
  <si>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</si>
  <si>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</si>
  <si>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</si>
  <si>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</si>
  <si>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</si>
  <si>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</si>
  <si>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</si>
  <si>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</si>
  <si>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</si>
  <si>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</si>
  <si>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</si>
  <si>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</si>
  <si>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</si>
  <si>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</si>
  <si>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</si>
  <si>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</si>
  <si>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</si>
  <si>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</si>
  <si>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</si>
  <si>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</si>
  <si>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</si>
  <si>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</si>
  <si>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</si>
  <si>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</si>
  <si>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</si>
  <si>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</si>
  <si>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</si>
  <si>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</si>
  <si>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</si>
  <si>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</si>
  <si>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</si>
  <si>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</si>
  <si>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</si>
  <si>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</si>
  <si>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</si>
  <si>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</si>
  <si>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</si>
  <si>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</si>
  <si>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</si>
  <si>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</si>
  <si>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</si>
  <si>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</si>
  <si>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</si>
  <si>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</si>
  <si>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</si>
  <si>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</si>
  <si>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</si>
  <si>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</si>
  <si>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</si>
  <si>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</si>
  <si>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</si>
  <si>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</si>
  <si>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</si>
  <si>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</si>
  <si>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</si>
  <si>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</si>
  <si>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</si>
  <si>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</si>
  <si>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</si>
  <si>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</si>
  <si>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</si>
  <si>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</si>
  <si>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</si>
  <si>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</si>
  <si>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</si>
  <si>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</si>
  <si>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</si>
  <si>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</si>
  <si>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</si>
  <si>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</si>
  <si>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</si>
  <si>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</si>
  <si>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</si>
  <si>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</si>
  <si>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</si>
  <si>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</si>
  <si>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</si>
  <si>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</si>
  <si>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</si>
  <si>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</si>
  <si>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</si>
  <si>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</si>
  <si>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</si>
  <si>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</si>
  <si>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</si>
  <si>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</si>
  <si>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</si>
  <si>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</si>
  <si>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</si>
  <si>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</si>
  <si>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</si>
  <si>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</si>
  <si>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</si>
  <si>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</si>
  <si>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</si>
  <si>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</si>
  <si>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</si>
  <si>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</si>
  <si>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</si>
  <si>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</si>
  <si>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</si>
  <si>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</si>
  <si>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</si>
  <si>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</si>
  <si>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</si>
  <si>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</si>
  <si>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</si>
  <si>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</si>
  <si>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</si>
  <si>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</si>
  <si>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</si>
  <si>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</si>
  <si>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</si>
  <si>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</si>
  <si>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</si>
  <si>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</si>
  <si>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</si>
  <si>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</si>
  <si>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</si>
  <si>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</si>
  <si>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</si>
  <si>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</si>
  <si>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</si>
  <si>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</si>
  <si>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</si>
  <si>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</si>
  <si>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</si>
  <si>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</si>
  <si>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</si>
  <si>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</si>
  <si>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</si>
  <si>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</si>
  <si>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</si>
  <si>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</si>
  <si>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</si>
  <si>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</si>
  <si>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</si>
  <si>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</si>
  <si>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</si>
  <si>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</si>
  <si>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</si>
  <si>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</si>
  <si>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</si>
  <si>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</si>
  <si>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</si>
  <si>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</si>
  <si>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</si>
  <si>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</si>
  <si>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</si>
  <si>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</si>
  <si>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</si>
  <si>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</si>
  <si>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</si>
  <si>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</si>
  <si>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</si>
  <si>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</si>
  <si>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</si>
  <si>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</si>
  <si>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</si>
  <si>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</si>
  <si>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</si>
  <si>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</si>
  <si>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</si>
  <si>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</si>
  <si>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</si>
  <si>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</si>
  <si>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</si>
  <si>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</si>
  <si>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</si>
  <si>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</si>
  <si>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</si>
  <si>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</si>
  <si>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</si>
  <si>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</si>
  <si>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</si>
  <si>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</si>
  <si>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</si>
  <si>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</si>
  <si>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</si>
  <si>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</si>
  <si>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</si>
  <si>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</si>
  <si>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</si>
  <si>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</si>
  <si>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</si>
  <si>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</si>
  <si>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</si>
  <si>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</si>
  <si>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</si>
  <si>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</si>
  <si>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</si>
  <si>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</si>
  <si>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</si>
  <si>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</si>
  <si>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</si>
  <si>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</si>
  <si>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</si>
  <si>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</si>
  <si>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</si>
  <si>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</si>
  <si>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</si>
  <si>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</si>
  <si>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</si>
  <si>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</si>
  <si>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</si>
  <si>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</si>
  <si>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</si>
  <si>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</si>
  <si>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</si>
  <si>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</si>
  <si>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</si>
  <si>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</si>
  <si>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</si>
  <si>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</si>
  <si>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</si>
  <si>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</si>
  <si>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</si>
  <si>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</si>
  <si>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</si>
  <si>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</si>
  <si>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</si>
  <si>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</si>
  <si>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</si>
  <si>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</si>
  <si>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</si>
  <si>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</si>
  <si>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</si>
  <si>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</si>
  <si>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</si>
  <si>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</si>
  <si>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</si>
  <si>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</si>
  <si>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</si>
  <si>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</si>
  <si>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</si>
  <si>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</si>
  <si>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</si>
  <si>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</si>
  <si>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</si>
  <si>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</si>
  <si>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</si>
  <si>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</si>
  <si>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</si>
  <si>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</si>
  <si>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</si>
  <si>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</si>
  <si>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</si>
  <si>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</si>
  <si>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</si>
  <si>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</si>
  <si>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</si>
  <si>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</si>
  <si>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</si>
  <si>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</si>
  <si>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</si>
  <si>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</si>
  <si>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</si>
  <si>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</si>
  <si>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</si>
  <si>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</si>
  <si>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</si>
  <si>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</si>
  <si>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</si>
  <si>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</si>
  <si>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</si>
  <si>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</si>
  <si>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</si>
  <si>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</si>
  <si>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</si>
  <si>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</si>
  <si>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</si>
  <si>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</si>
  <si>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</si>
  <si>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</si>
  <si>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</si>
  <si>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</si>
  <si>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</si>
  <si>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</si>
  <si>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</si>
  <si>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</si>
  <si>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</si>
  <si>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</si>
  <si>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</si>
  <si>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</si>
  <si>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</si>
  <si>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</si>
  <si>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</si>
  <si>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</si>
  <si>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</si>
  <si>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</si>
  <si>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</si>
  <si>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</si>
  <si>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</si>
  <si>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</si>
  <si>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</si>
  <si>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</si>
  <si>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</si>
  <si>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</si>
  <si>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</si>
  <si>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</si>
  <si>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</si>
  <si>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</si>
  <si>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</si>
  <si>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</si>
  <si>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</si>
  <si>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</si>
  <si>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</si>
  <si>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</si>
  <si>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</si>
  <si>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</si>
  <si>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</si>
  <si>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</si>
  <si>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</si>
  <si>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</si>
  <si>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</si>
  <si>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</si>
  <si>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</si>
  <si>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</si>
  <si>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</si>
  <si>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</si>
  <si>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</si>
  <si>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</si>
  <si>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</si>
  <si>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</si>
  <si>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</si>
  <si>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</si>
  <si>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</si>
  <si>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</si>
  <si>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</si>
  <si>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</si>
  <si>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</si>
  <si>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</si>
  <si>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</si>
  <si>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</si>
  <si>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</si>
  <si>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</si>
  <si>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</si>
  <si>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</si>
  <si>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</si>
  <si>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</si>
  <si>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</si>
  <si>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</si>
  <si>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</si>
  <si>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</si>
  <si>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</si>
  <si>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</si>
  <si>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</si>
  <si>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</si>
  <si>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</si>
  <si>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</si>
  <si>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</si>
  <si>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</si>
  <si>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</si>
  <si>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</si>
  <si>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</si>
  <si>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</si>
  <si>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</si>
  <si>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</si>
  <si>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</si>
  <si>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</si>
  <si>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</si>
  <si>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</si>
  <si>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</si>
  <si>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</si>
  <si>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</si>
  <si>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</si>
  <si>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</si>
  <si>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</si>
  <si>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</si>
  <si>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</si>
  <si>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</si>
  <si>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</si>
  <si>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</si>
  <si>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</si>
  <si>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</si>
  <si>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</si>
  <si>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</si>
  <si>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</si>
  <si>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</si>
  <si>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</si>
  <si>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</si>
  <si>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</si>
  <si>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</si>
  <si>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</si>
  <si>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</si>
  <si>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</si>
  <si>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</si>
  <si>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</si>
  <si>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</si>
  <si>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</si>
  <si>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</si>
  <si>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</si>
  <si>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</si>
  <si>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</si>
  <si>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</si>
  <si>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</si>
  <si>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</si>
  <si>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</si>
  <si>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</si>
  <si>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</si>
  <si>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</si>
  <si>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</si>
  <si>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</si>
  <si>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</si>
  <si>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</si>
  <si>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</si>
  <si>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</si>
  <si>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</si>
  <si>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</si>
  <si>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</si>
  <si>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</si>
  <si>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</si>
  <si>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</si>
  <si>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</si>
  <si>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</si>
  <si>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</si>
  <si>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</si>
  <si>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</si>
  <si>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</si>
  <si>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</si>
  <si>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</si>
  <si>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</si>
  <si>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</si>
  <si>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</si>
  <si>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</si>
  <si>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</si>
  <si>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</si>
  <si>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</si>
  <si>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</si>
  <si>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</si>
  <si>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</si>
  <si>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</si>
  <si>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</si>
  <si>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</si>
  <si>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</si>
  <si>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</si>
  <si>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</si>
  <si>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</si>
  <si>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</si>
  <si>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</si>
  <si>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</si>
  <si>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</si>
  <si>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</si>
  <si>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</si>
  <si>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</si>
  <si>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</si>
  <si>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</si>
  <si>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</si>
  <si>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</si>
  <si>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</si>
  <si>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</si>
  <si>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</si>
  <si>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</si>
  <si>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</si>
  <si>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</si>
  <si>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</si>
  <si>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</si>
  <si>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</si>
  <si>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</si>
  <si>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</si>
  <si>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</si>
  <si>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</si>
  <si>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</si>
  <si>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</si>
  <si>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</si>
  <si>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</si>
  <si>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</si>
  <si>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</si>
  <si>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</si>
  <si>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</si>
  <si>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</si>
  <si>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</si>
  <si>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</si>
  <si>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</si>
  <si>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</si>
  <si>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</si>
  <si>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</si>
  <si>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</si>
  <si>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</si>
  <si>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</si>
  <si>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</si>
  <si>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</si>
  <si>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</si>
  <si>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</si>
  <si>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</si>
  <si>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</si>
  <si>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</si>
  <si>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</si>
  <si>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</si>
  <si>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</si>
  <si>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</si>
  <si>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</si>
  <si>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</si>
  <si>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</si>
  <si>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</si>
  <si>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</si>
  <si>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</si>
  <si>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</si>
  <si>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</si>
  <si>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</si>
  <si>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</si>
  <si>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</si>
  <si>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</si>
  <si>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</si>
  <si>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</si>
  <si>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</si>
  <si>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</si>
  <si>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</si>
  <si>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</si>
  <si>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</si>
  <si>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</si>
  <si>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</si>
  <si>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</si>
  <si>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</si>
  <si>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</si>
  <si>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</si>
  <si>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</si>
  <si>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</si>
  <si>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</si>
  <si>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</si>
  <si>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</si>
  <si>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</si>
  <si>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 Rating</t>
  </si>
  <si>
    <t>5*calls</t>
  </si>
  <si>
    <t>Row Labels</t>
  </si>
  <si>
    <t>Grand Total</t>
  </si>
  <si>
    <t>Sunday</t>
  </si>
  <si>
    <t>Tuesday</t>
  </si>
  <si>
    <t>Wednesday</t>
  </si>
  <si>
    <t>Thursday</t>
  </si>
  <si>
    <t>Saturday</t>
  </si>
  <si>
    <t>Monday</t>
  </si>
  <si>
    <t>Friday</t>
  </si>
  <si>
    <t>Jan</t>
  </si>
  <si>
    <t>Feb</t>
  </si>
  <si>
    <t>Mar</t>
  </si>
  <si>
    <t>Apr</t>
  </si>
  <si>
    <t>May</t>
  </si>
  <si>
    <t>Jun</t>
  </si>
  <si>
    <t>Jul</t>
  </si>
  <si>
    <t>Aug</t>
  </si>
  <si>
    <t>Sep</t>
  </si>
  <si>
    <t>Oct</t>
  </si>
  <si>
    <t>Nov</t>
  </si>
  <si>
    <t>Dec</t>
  </si>
  <si>
    <t>Call Count2</t>
  </si>
  <si>
    <t>For Graph</t>
  </si>
  <si>
    <t>Rep</t>
  </si>
  <si>
    <t>Calls</t>
  </si>
  <si>
    <t>Amount</t>
  </si>
  <si>
    <t>Sel.Calls</t>
  </si>
  <si>
    <t>Sel.Amount</t>
  </si>
  <si>
    <t>Selected rep</t>
  </si>
  <si>
    <t>Column Labels</t>
  </si>
  <si>
    <t>Total</t>
  </si>
  <si>
    <t>CALL CENTER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</si>
</sst>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quot;₹&quot;\ #,##0;#,##0\ \-&quot;₹&quot;;&quot;₹&quot;\ #,##0"/>
    <numFmt numFmtId="166" formatCode="[$$-C09]#,##0.00"/>
    <numFmt numFmtId="167" formatCode="\$#,###.0,&quot;k&quot;"/>
    <numFmt numFmtId="168" formatCode="&quot;₹&quot;\ #,##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26"/>
      <color theme="1"/>
      <name val="Aptos ExtraBold"/>
      <family val="2"/>
      <scheme val="major"/>
    </font>
    <font>
      <sz val="26"/>
      <color theme="0" tint="-0.499984740745262"/>
      <name val="Aptos ExtraBold"/>
      <family val="2"/>
      <scheme val="maj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9"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0" fillId="4" borderId="0" xfId="0" applyFill="1" applyAlignment="1">
      <alignment horizontal="left"/>
    </xf>
    <xf numFmtId="0" fontId="0" fillId="0" borderId="0" xfId="0" applyNumberFormat="1"/>
    <xf numFmtId="0" fontId="0" fillId="0" borderId="0" xfId="0" applyAlignment="1">
      <alignment horizontal="left" indent="1"/>
    </xf>
    <xf numFmtId="0" fontId="0" fillId="3" borderId="0" xfId="0" applyFill="1" applyAlignment="1">
      <alignment horizontal="center"/>
    </xf>
    <xf numFmtId="0" fontId="0" fillId="3" borderId="10" xfId="0" applyFill="1" applyBorder="1"/>
    <xf numFmtId="0" fontId="0" fillId="3" borderId="0" xfId="0" applyFont="1" applyFill="1" applyBorder="1"/>
    <xf numFmtId="0" fontId="0" fillId="3" borderId="14" xfId="0" applyFont="1" applyFill="1" applyBorder="1"/>
    <xf numFmtId="0" fontId="0" fillId="3" borderId="13" xfId="0" applyFont="1" applyFill="1" applyBorder="1" applyAlignment="1">
      <alignment horizontal="center"/>
    </xf>
    <xf numFmtId="168" fontId="0" fillId="3" borderId="0" xfId="0" applyNumberFormat="1" applyFont="1" applyFill="1" applyBorder="1"/>
    <xf numFmtId="168" fontId="0" fillId="3" borderId="14" xfId="0" applyNumberFormat="1" applyFont="1" applyFill="1" applyBorder="1"/>
    <xf numFmtId="0" fontId="0" fillId="3" borderId="15" xfId="0" applyFont="1" applyFill="1" applyBorder="1" applyAlignment="1">
      <alignment horizontal="center"/>
    </xf>
    <xf numFmtId="168" fontId="0" fillId="3" borderId="16" xfId="0" applyNumberFormat="1" applyFont="1" applyFill="1" applyBorder="1"/>
    <xf numFmtId="168" fontId="0" fillId="3" borderId="17" xfId="0" applyNumberFormat="1" applyFont="1" applyFill="1" applyBorder="1"/>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3" borderId="13" xfId="0" applyFont="1" applyFill="1" applyBorder="1" applyAlignment="1"/>
    <xf numFmtId="0" fontId="1" fillId="3" borderId="13" xfId="0" applyFont="1" applyFill="1" applyBorder="1"/>
    <xf numFmtId="0" fontId="4" fillId="3" borderId="0" xfId="0" applyFont="1" applyFill="1" applyAlignment="1">
      <alignment horizontal="left" vertical="center" indent="1"/>
    </xf>
    <xf numFmtId="0" fontId="5" fillId="3" borderId="0" xfId="0" applyFont="1" applyFill="1" applyAlignment="1">
      <alignment horizontal="left" vertical="center" indent="1"/>
    </xf>
  </cellXfs>
  <cellStyles count="1">
    <cellStyle name="Normal" xfId="0" builtinId="0"/>
  </cellStyles>
  <dxfs count="34">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theme="9" tint="0.39994506668294322"/>
        </patternFill>
      </fill>
      <border>
        <left style="thin">
          <color rgb="FF002060"/>
        </left>
        <right style="thin">
          <color rgb="FF002060"/>
        </right>
        <top style="thin">
          <color rgb="FF002060"/>
        </top>
        <bottom style="thin">
          <color rgb="FF002060"/>
        </bottom>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theme="9" tint="0.39994506668294322"/>
        </patternFill>
      </fill>
      <border>
        <left style="thin">
          <color rgb="FF002060"/>
        </left>
        <right style="thin">
          <color rgb="FF002060"/>
        </right>
        <top style="thin">
          <color rgb="FF002060"/>
        </top>
        <bottom style="thin">
          <color rgb="FF002060"/>
        </bottom>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b/>
        <color theme="1"/>
      </font>
      <border>
        <bottom style="thin">
          <color theme="9"/>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fill>
        <patternFill patternType="solid">
          <bgColor theme="9" tint="0.39997558519241921"/>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33"/>
    </tableStyle>
    <tableStyle name="SlicerStyleDark6 2" pivot="0" table="0" count="10" xr9:uid="{AFC02CB2-3C73-49F9-913A-EA1D3A2A5923}">
      <tableStyleElement type="wholeTable" dxfId="17"/>
      <tableStyleElement type="headerRow" dxfId="16"/>
    </tableStyle>
  </tableStyles>
  <colors>
    <mruColors>
      <color rgb="FF959D99"/>
      <color rgb="FF2F2E3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Call Center Report.xlsx]Pivots!weekday trend</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Pivots!$G$16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Pivots!$F$17:$F$24</c:f>
              <c:strCache>
                <c:ptCount val="7"/>
                <c:pt idx="0">
                  <c:v>Sunday</c:v>
                </c:pt>
                <c:pt idx="1">
                  <c:v>Monday</c:v>
                </c:pt>
                <c:pt idx="2">
                  <c:v>Tuesday</c:v>
                </c:pt>
                <c:pt idx="3">
                  <c:v>Wednesday</c:v>
                </c:pt>
                <c:pt idx="4">
                  <c:v>Thursday</c:v>
                </c:pt>
                <c:pt idx="5">
                  <c:v>Friday</c:v>
                </c:pt>
                <c:pt idx="6">
                  <c:v>Saturday</c:v>
                </c:pt>
              </c:strCache>
            </c:strRef>
          </c:cat>
          <c:val>
            <c:numRef>
              <c:f>Pivots!$G$17:$G$24</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023E-4007-B5BD-AE29D11B14DF}"/>
            </c:ext>
          </c:extLst>
        </c:ser>
        <c:dLbls>
          <c:showLegendKey val="0"/>
          <c:showVal val="0"/>
          <c:showCatName val="0"/>
          <c:showSerName val="0"/>
          <c:showPercent val="0"/>
          <c:showBubbleSize val="0"/>
        </c:dLbls>
        <c:gapWidth val="25"/>
        <c:axId val="682128168"/>
        <c:axId val="682125648"/>
      </c:barChart>
      <c:catAx>
        <c:axId val="682128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125648"/>
        <c:crosses val="autoZero"/>
        <c:auto val="1"/>
        <c:lblAlgn val="ctr"/>
        <c:lblOffset val="100"/>
        <c:noMultiLvlLbl val="0"/>
      </c:catAx>
      <c:valAx>
        <c:axId val="682125648"/>
        <c:scaling>
          <c:orientation val="minMax"/>
        </c:scaling>
        <c:delete val="1"/>
        <c:axPos val="b"/>
        <c:numFmt formatCode="#,##0" sourceLinked="1"/>
        <c:majorTickMark val="none"/>
        <c:minorTickMark val="none"/>
        <c:tickLblPos val="nextTo"/>
        <c:crossAx val="682128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Call Center Report.xlsx]Pivots!monthly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6">
                    <a:lumMod val="75000"/>
                  </a:schemeClr>
                </a:solidFill>
                <a:latin typeface="+mj-lt"/>
              </a:rPr>
              <a:t>Call</a:t>
            </a:r>
            <a:r>
              <a:rPr lang="en-IN" sz="1600" baseline="0">
                <a:solidFill>
                  <a:schemeClr val="accent6">
                    <a:lumMod val="75000"/>
                  </a:schemeClr>
                </a:solidFill>
                <a:latin typeface="+mj-lt"/>
              </a:rPr>
              <a:t> Trend</a:t>
            </a:r>
            <a:endParaRPr lang="en-IN" sz="1600">
              <a:solidFill>
                <a:schemeClr val="accent6">
                  <a:lumMod val="75000"/>
                </a:schemeClr>
              </a:solidFill>
              <a:latin typeface="+mj-lt"/>
            </a:endParaRPr>
          </a:p>
        </c:rich>
      </c:tx>
      <c:layout>
        <c:manualLayout>
          <c:xMode val="edge"/>
          <c:yMode val="edge"/>
          <c:x val="5.675287356321839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alpha val="60000"/>
                </a:schemeClr>
              </a:gs>
              <a:gs pos="52000">
                <a:schemeClr val="accent6">
                  <a:lumMod val="75000"/>
                  <a:alpha val="8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75000"/>
                  <a:lumOff val="25000"/>
                  <a:alpha val="92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Pivots!$C$16</c:f>
              <c:strCache>
                <c:ptCount val="1"/>
                <c:pt idx="0">
                  <c:v>Call Count2</c:v>
                </c:pt>
              </c:strCache>
            </c:strRef>
          </c:tx>
          <c:spPr>
            <a:gradFill flip="none" rotWithShape="1">
              <a:gsLst>
                <a:gs pos="0">
                  <a:schemeClr val="accent1">
                    <a:lumMod val="5000"/>
                    <a:lumOff val="95000"/>
                    <a:alpha val="60000"/>
                  </a:schemeClr>
                </a:gs>
                <a:gs pos="52000">
                  <a:schemeClr val="accent6">
                    <a:lumMod val="75000"/>
                    <a:alpha val="80000"/>
                  </a:schemeClr>
                </a:gs>
              </a:gsLst>
              <a:lin ang="2700000" scaled="1"/>
              <a:tileRect/>
            </a:gradFill>
            <a:ln>
              <a:noFill/>
            </a:ln>
            <a:effectLst/>
          </c:spP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Pivots!$C$17:$C$29</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098F-4AFE-97D0-3BD5750CA190}"/>
            </c:ext>
          </c:extLst>
        </c:ser>
        <c:dLbls>
          <c:showLegendKey val="0"/>
          <c:showVal val="0"/>
          <c:showCatName val="0"/>
          <c:showSerName val="0"/>
          <c:showPercent val="0"/>
          <c:showBubbleSize val="0"/>
        </c:dLbls>
        <c:axId val="878794560"/>
        <c:axId val="878794920"/>
      </c:areaChart>
      <c:lineChart>
        <c:grouping val="standard"/>
        <c:varyColors val="0"/>
        <c:ser>
          <c:idx val="0"/>
          <c:order val="0"/>
          <c:tx>
            <c:strRef>
              <c:f>Pivots!$B$16</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75000"/>
                    <a:lumOff val="25000"/>
                    <a:alpha val="92000"/>
                  </a:schemeClr>
                </a:solidFill>
              </a:ln>
              <a:effectLst/>
            </c:spPr>
          </c:marke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Pivots!$B$17:$B$29</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098F-4AFE-97D0-3BD5750CA190}"/>
            </c:ext>
          </c:extLst>
        </c:ser>
        <c:dLbls>
          <c:showLegendKey val="0"/>
          <c:showVal val="0"/>
          <c:showCatName val="0"/>
          <c:showSerName val="0"/>
          <c:showPercent val="0"/>
          <c:showBubbleSize val="0"/>
        </c:dLbls>
        <c:marker val="1"/>
        <c:smooth val="0"/>
        <c:axId val="878794560"/>
        <c:axId val="878794920"/>
      </c:lineChart>
      <c:catAx>
        <c:axId val="878794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794920"/>
        <c:crosses val="autoZero"/>
        <c:auto val="1"/>
        <c:lblAlgn val="ctr"/>
        <c:lblOffset val="100"/>
        <c:noMultiLvlLbl val="0"/>
      </c:catAx>
      <c:valAx>
        <c:axId val="878794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79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6">
                    <a:lumMod val="75000"/>
                  </a:schemeClr>
                </a:solidFill>
                <a:latin typeface="+mj-lt"/>
              </a:rPr>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Pivots!$F$37:$F$41</c:f>
              <c:strCache>
                <c:ptCount val="5"/>
                <c:pt idx="0">
                  <c:v>R01</c:v>
                </c:pt>
                <c:pt idx="1">
                  <c:v>R02</c:v>
                </c:pt>
                <c:pt idx="2">
                  <c:v>R03</c:v>
                </c:pt>
                <c:pt idx="3">
                  <c:v>R04</c:v>
                </c:pt>
                <c:pt idx="4">
                  <c:v>R05</c:v>
                </c:pt>
              </c:strCache>
            </c:strRef>
          </c:cat>
          <c:val>
            <c:numRef>
              <c:f>Pivots!$G$37:$G$41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E5F-4C9F-A9C6-A6325716ABB5}"/>
            </c:ext>
          </c:extLst>
        </c:ser>
        <c:ser>
          <c:idx val="1"/>
          <c:order val="1"/>
          <c:tx>
            <c:strRef>
              <c:f>Pivots!$I$36</c:f>
              <c:strCache>
                <c:ptCount val="1"/>
                <c:pt idx="0">
                  <c:v>Sel.Calls</c:v>
                </c:pt>
              </c:strCache>
            </c:strRef>
          </c:tx>
          <c:spPr>
            <a:gradFill>
              <a:gsLst>
                <a:gs pos="78000">
                  <a:schemeClr val="accent6">
                    <a:lumMod val="75000"/>
                  </a:schemeClr>
                </a:gs>
                <a:gs pos="0">
                  <a:schemeClr val="accent1">
                    <a:lumMod val="5000"/>
                    <a:lumOff val="95000"/>
                    <a:alpha val="60000"/>
                  </a:schemeClr>
                </a:gs>
                <a:gs pos="58000">
                  <a:schemeClr val="accent6">
                    <a:lumMod val="75000"/>
                    <a:alpha val="80000"/>
                  </a:schemeClr>
                </a:gs>
              </a:gsLst>
              <a:lin ang="2700000" scaled="1"/>
            </a:gradFill>
            <a:ln>
              <a:noFill/>
            </a:ln>
            <a:effectLst/>
          </c:spPr>
          <c:invertIfNegative val="0"/>
          <c:dPt>
            <c:idx val="4"/>
            <c:invertIfNegative val="0"/>
            <c:bubble3D val="0"/>
            <c:spPr>
              <a:gradFill>
                <a:gsLst>
                  <a:gs pos="78000">
                    <a:schemeClr val="accent6">
                      <a:lumMod val="75000"/>
                    </a:schemeClr>
                  </a:gs>
                  <a:gs pos="0">
                    <a:schemeClr val="accent1">
                      <a:lumMod val="5000"/>
                      <a:lumOff val="95000"/>
                      <a:alpha val="60000"/>
                    </a:schemeClr>
                  </a:gs>
                  <a:gs pos="58000">
                    <a:schemeClr val="accent6">
                      <a:lumMod val="75000"/>
                      <a:alpha val="80000"/>
                    </a:schemeClr>
                  </a:gs>
                </a:gsLst>
                <a:lin ang="2700000" scaled="1"/>
              </a:gradFill>
              <a:ln>
                <a:noFill/>
              </a:ln>
              <a:effectLst/>
            </c:spPr>
            <c:extLst>
              <c:ext xmlns:c16="http://schemas.microsoft.com/office/drawing/2014/chart" uri="{C3380CC4-5D6E-409C-BE32-E72D297353CC}">
                <c16:uniqueId val="{00000002-6E5F-4C9F-A9C6-A6325716ABB5}"/>
              </c:ext>
            </c:extLst>
          </c:dPt>
          <c:val>
            <c:numRef>
              <c:f>Pivots!$I$37:$I$41</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3-6E5F-4C9F-A9C6-A6325716ABB5}"/>
            </c:ext>
          </c:extLst>
        </c:ser>
        <c:dLbls>
          <c:showLegendKey val="0"/>
          <c:showVal val="0"/>
          <c:showCatName val="0"/>
          <c:showSerName val="0"/>
          <c:showPercent val="0"/>
          <c:showBubbleSize val="0"/>
        </c:dLbls>
        <c:gapWidth val="25"/>
        <c:overlap val="100"/>
        <c:axId val="951849040"/>
        <c:axId val="951852280"/>
      </c:barChart>
      <c:catAx>
        <c:axId val="9518490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852280"/>
        <c:crosses val="autoZero"/>
        <c:auto val="1"/>
        <c:lblAlgn val="ctr"/>
        <c:lblOffset val="100"/>
        <c:noMultiLvlLbl val="0"/>
      </c:catAx>
      <c:valAx>
        <c:axId val="951852280"/>
        <c:scaling>
          <c:orientation val="minMax"/>
          <c:min val="0"/>
        </c:scaling>
        <c:delete val="1"/>
        <c:axPos val="t"/>
        <c:numFmt formatCode="General" sourceLinked="1"/>
        <c:majorTickMark val="none"/>
        <c:minorTickMark val="none"/>
        <c:tickLblPos val="nextTo"/>
        <c:crossAx val="95184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6">
                    <a:lumMod val="75000"/>
                  </a:schemeClr>
                </a:solidFill>
                <a:latin typeface="+mj-lt"/>
              </a:rPr>
              <a:t>Amount</a:t>
            </a:r>
          </a:p>
        </c:rich>
      </c:tx>
      <c:layout>
        <c:manualLayout>
          <c:xMode val="edge"/>
          <c:yMode val="edge"/>
          <c:x val="0.32099205523615248"/>
          <c:y val="3.19290554823906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Pivots!$F$37:$F$41</c:f>
              <c:strCache>
                <c:ptCount val="5"/>
                <c:pt idx="0">
                  <c:v>R01</c:v>
                </c:pt>
                <c:pt idx="1">
                  <c:v>R02</c:v>
                </c:pt>
                <c:pt idx="2">
                  <c:v>R03</c:v>
                </c:pt>
                <c:pt idx="3">
                  <c:v>R04</c:v>
                </c:pt>
                <c:pt idx="4">
                  <c:v>R05</c:v>
                </c:pt>
              </c:strCache>
            </c:strRef>
          </c:cat>
          <c:val>
            <c:numRef>
              <c:f>Pivots!$H$37:$H$41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DC1-4888-B8C5-70024AA99929}"/>
            </c:ext>
          </c:extLst>
        </c:ser>
        <c:ser>
          <c:idx val="1"/>
          <c:order val="1"/>
          <c:tx>
            <c:strRef>
              <c:f>Pivots!$J$36</c:f>
              <c:strCache>
                <c:ptCount val="1"/>
                <c:pt idx="0">
                  <c:v>Sel.Amount</c:v>
                </c:pt>
              </c:strCache>
            </c:strRef>
          </c:tx>
          <c:spPr>
            <a:gradFill>
              <a:gsLst>
                <a:gs pos="78000">
                  <a:schemeClr val="accent6">
                    <a:lumMod val="75000"/>
                  </a:schemeClr>
                </a:gs>
                <a:gs pos="0">
                  <a:schemeClr val="accent1">
                    <a:lumMod val="5000"/>
                    <a:lumOff val="95000"/>
                    <a:alpha val="60000"/>
                  </a:schemeClr>
                </a:gs>
                <a:gs pos="58000">
                  <a:schemeClr val="accent6">
                    <a:lumMod val="75000"/>
                    <a:alpha val="80000"/>
                  </a:schemeClr>
                </a:gs>
              </a:gsLst>
              <a:lin ang="2700000" scaled="1"/>
            </a:gradFill>
            <a:ln>
              <a:noFill/>
            </a:ln>
            <a:effectLst/>
          </c:spPr>
          <c:invertIfNegative val="0"/>
          <c:val>
            <c:numRef>
              <c:f>Pivots!$J$37:$J$41</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CDC1-4888-B8C5-70024AA99929}"/>
            </c:ext>
          </c:extLst>
        </c:ser>
        <c:dLbls>
          <c:showLegendKey val="0"/>
          <c:showVal val="0"/>
          <c:showCatName val="0"/>
          <c:showSerName val="0"/>
          <c:showPercent val="0"/>
          <c:showBubbleSize val="0"/>
        </c:dLbls>
        <c:gapWidth val="25"/>
        <c:overlap val="100"/>
        <c:axId val="951849040"/>
        <c:axId val="951852280"/>
      </c:barChart>
      <c:catAx>
        <c:axId val="9518490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852280"/>
        <c:crosses val="autoZero"/>
        <c:auto val="1"/>
        <c:lblAlgn val="ctr"/>
        <c:lblOffset val="100"/>
        <c:noMultiLvlLbl val="0"/>
      </c:catAx>
      <c:valAx>
        <c:axId val="951852280"/>
        <c:scaling>
          <c:orientation val="minMax"/>
        </c:scaling>
        <c:delete val="1"/>
        <c:axPos val="t"/>
        <c:numFmt formatCode="\$#,###.0,&quot;k&quot;" sourceLinked="1"/>
        <c:majorTickMark val="none"/>
        <c:minorTickMark val="none"/>
        <c:tickLblPos val="nextTo"/>
        <c:crossAx val="95184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Call Center Report.xlsx]Pivots!PivotTable9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6">
                    <a:lumMod val="60000"/>
                    <a:lumOff val="40000"/>
                  </a:schemeClr>
                </a:solidFill>
                <a:latin typeface="+mj-lt"/>
              </a:rPr>
              <a:t>Female</a:t>
            </a:r>
            <a:r>
              <a:rPr lang="en-IN" sz="1600" baseline="0">
                <a:latin typeface="+mj-lt"/>
              </a:rPr>
              <a:t> Vs </a:t>
            </a:r>
            <a:r>
              <a:rPr lang="en-IN" sz="1600" baseline="0">
                <a:solidFill>
                  <a:schemeClr val="accent4">
                    <a:lumMod val="60000"/>
                    <a:lumOff val="40000"/>
                  </a:schemeClr>
                </a:solidFill>
                <a:latin typeface="+mj-lt"/>
              </a:rPr>
              <a:t>Male</a:t>
            </a:r>
            <a:r>
              <a:rPr lang="en-IN" sz="1600" baseline="0">
                <a:latin typeface="+mj-lt"/>
              </a:rPr>
              <a:t> Callers</a:t>
            </a:r>
            <a:endParaRPr lang="en-IN" sz="1600">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solidFill>
              <a:schemeClr val="accent6">
                <a:lumMod val="60000"/>
                <a:lumOff val="4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lumMod val="40000"/>
              <a:lumOff val="60000"/>
            </a:schemeClr>
          </a:solidFill>
          <a:ln>
            <a:noFill/>
          </a:ln>
          <a:effectLst/>
        </c:spPr>
        <c:marker>
          <c:symbol val="none"/>
        </c:marker>
        <c:dLbl>
          <c:idx val="0"/>
          <c:spPr>
            <a:solidFill>
              <a:schemeClr val="accent4">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Pivots!$B$56:$B$57</c:f>
              <c:strCache>
                <c:ptCount val="1"/>
                <c:pt idx="0">
                  <c:v>Female</c:v>
                </c:pt>
              </c:strCache>
            </c:strRef>
          </c:tx>
          <c:spPr>
            <a:solidFill>
              <a:schemeClr val="accent6">
                <a:lumMod val="60000"/>
                <a:lumOff val="40000"/>
              </a:schemeClr>
            </a:solidFill>
            <a:ln>
              <a:noFill/>
            </a:ln>
            <a:effectLst/>
          </c:spPr>
          <c:invertIfNegative val="0"/>
          <c:dLbls>
            <c:spPr>
              <a:solidFill>
                <a:schemeClr val="accent6">
                  <a:lumMod val="60000"/>
                  <a:lumOff val="4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Pivots!$A$58:$A$61</c:f>
              <c:strCache>
                <c:ptCount val="3"/>
                <c:pt idx="0">
                  <c:v>Cincinnati</c:v>
                </c:pt>
                <c:pt idx="1">
                  <c:v>Cleveland</c:v>
                </c:pt>
                <c:pt idx="2">
                  <c:v>Columbus</c:v>
                </c:pt>
              </c:strCache>
            </c:strRef>
          </c:cat>
          <c:val>
            <c:numRef>
              <c:f>Pivots!$B$58:$B$61</c:f>
              <c:numCache>
                <c:formatCode>#,##0</c:formatCode>
                <c:ptCount val="3"/>
                <c:pt idx="0">
                  <c:v>144</c:v>
                </c:pt>
                <c:pt idx="1">
                  <c:v>326</c:v>
                </c:pt>
                <c:pt idx="2">
                  <c:v>129</c:v>
                </c:pt>
              </c:numCache>
            </c:numRef>
          </c:val>
          <c:extLst>
            <c:ext xmlns:c16="http://schemas.microsoft.com/office/drawing/2014/chart" uri="{C3380CC4-5D6E-409C-BE32-E72D297353CC}">
              <c16:uniqueId val="{00000000-55B7-4048-9B20-2E3EAE8460AA}"/>
            </c:ext>
          </c:extLst>
        </c:ser>
        <c:ser>
          <c:idx val="1"/>
          <c:order val="1"/>
          <c:tx>
            <c:strRef>
              <c:f>Pivots!$C$56:$C$57</c:f>
              <c:strCache>
                <c:ptCount val="1"/>
                <c:pt idx="0">
                  <c:v>Male</c:v>
                </c:pt>
              </c:strCache>
            </c:strRef>
          </c:tx>
          <c:spPr>
            <a:solidFill>
              <a:schemeClr val="accent4">
                <a:lumMod val="40000"/>
                <a:lumOff val="60000"/>
              </a:schemeClr>
            </a:solidFill>
            <a:ln>
              <a:noFill/>
            </a:ln>
            <a:effectLst/>
          </c:spPr>
          <c:invertIfNegative val="0"/>
          <c:dLbls>
            <c:spPr>
              <a:solidFill>
                <a:schemeClr val="accent4">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Pivots!$A$58:$A$61</c:f>
              <c:strCache>
                <c:ptCount val="3"/>
                <c:pt idx="0">
                  <c:v>Cincinnati</c:v>
                </c:pt>
                <c:pt idx="1">
                  <c:v>Cleveland</c:v>
                </c:pt>
                <c:pt idx="2">
                  <c:v>Columbus</c:v>
                </c:pt>
              </c:strCache>
            </c:strRef>
          </c:cat>
          <c:val>
            <c:numRef>
              <c:f>Pivots!$C$58:$C$61</c:f>
              <c:numCache>
                <c:formatCode>#,##0</c:formatCode>
                <c:ptCount val="3"/>
                <c:pt idx="0">
                  <c:v>132</c:v>
                </c:pt>
                <c:pt idx="1">
                  <c:v>63</c:v>
                </c:pt>
                <c:pt idx="2">
                  <c:v>206</c:v>
                </c:pt>
              </c:numCache>
            </c:numRef>
          </c:val>
          <c:extLst>
            <c:ext xmlns:c16="http://schemas.microsoft.com/office/drawing/2014/chart" uri="{C3380CC4-5D6E-409C-BE32-E72D297353CC}">
              <c16:uniqueId val="{00000001-55B7-4048-9B20-2E3EAE8460AA}"/>
            </c:ext>
          </c:extLst>
        </c:ser>
        <c:dLbls>
          <c:showLegendKey val="0"/>
          <c:showVal val="0"/>
          <c:showCatName val="0"/>
          <c:showSerName val="0"/>
          <c:showPercent val="0"/>
          <c:showBubbleSize val="0"/>
        </c:dLbls>
        <c:gapWidth val="150"/>
        <c:overlap val="100"/>
        <c:axId val="578893072"/>
        <c:axId val="578889472"/>
      </c:barChart>
      <c:catAx>
        <c:axId val="57889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89472"/>
        <c:crosses val="autoZero"/>
        <c:auto val="1"/>
        <c:lblAlgn val="ctr"/>
        <c:lblOffset val="100"/>
        <c:noMultiLvlLbl val="0"/>
      </c:catAx>
      <c:valAx>
        <c:axId val="578889472"/>
        <c:scaling>
          <c:orientation val="minMax"/>
        </c:scaling>
        <c:delete val="1"/>
        <c:axPos val="l"/>
        <c:numFmt formatCode="0%" sourceLinked="1"/>
        <c:majorTickMark val="none"/>
        <c:minorTickMark val="none"/>
        <c:tickLblPos val="nextTo"/>
        <c:crossAx val="57889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Call Center Report.xlsx]Pivots!rep satisfaction</c:name>
    <c:fmtId val="9"/>
  </c:pivotSource>
  <c:chart>
    <c:title>
      <c:tx>
        <c:rich>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r>
              <a:rPr lang="en-US" sz="1600">
                <a:solidFill>
                  <a:schemeClr val="bg2">
                    <a:lumMod val="50000"/>
                  </a:schemeClr>
                </a:solidFill>
                <a:latin typeface="+mj-lt"/>
              </a:rPr>
              <a:t>Rating</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Pivots!$B$64</c:f>
              <c:strCache>
                <c:ptCount val="1"/>
                <c:pt idx="0">
                  <c:v>Total</c:v>
                </c:pt>
              </c:strCache>
            </c:strRef>
          </c:tx>
          <c:spPr>
            <a:solidFill>
              <a:schemeClr val="bg2">
                <a:lumMod val="50000"/>
              </a:schemeClr>
            </a:solidFill>
            <a:ln>
              <a:noFill/>
            </a:ln>
            <a:effectLst/>
          </c:spPr>
          <c:invertIfNegative val="0"/>
          <c:cat>
            <c:strRef>
              <c:f>Pivots!$A$65:$A$71</c:f>
              <c:strCache>
                <c:ptCount val="6"/>
                <c:pt idx="0">
                  <c:v>0</c:v>
                </c:pt>
                <c:pt idx="1">
                  <c:v>1</c:v>
                </c:pt>
                <c:pt idx="2">
                  <c:v>2</c:v>
                </c:pt>
                <c:pt idx="3">
                  <c:v>3</c:v>
                </c:pt>
                <c:pt idx="4">
                  <c:v>4</c:v>
                </c:pt>
                <c:pt idx="5">
                  <c:v>5</c:v>
                </c:pt>
              </c:strCache>
            </c:strRef>
          </c:cat>
          <c:val>
            <c:numRef>
              <c:f>Pivots!$B$65:$B$71</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1EA9-47F9-8468-C3DCF28FADF5}"/>
            </c:ext>
          </c:extLst>
        </c:ser>
        <c:dLbls>
          <c:showLegendKey val="0"/>
          <c:showVal val="0"/>
          <c:showCatName val="0"/>
          <c:showSerName val="0"/>
          <c:showPercent val="0"/>
          <c:showBubbleSize val="0"/>
        </c:dLbls>
        <c:gapWidth val="10"/>
        <c:overlap val="-27"/>
        <c:axId val="949520904"/>
        <c:axId val="956570232"/>
      </c:barChart>
      <c:catAx>
        <c:axId val="949520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570232"/>
        <c:crosses val="autoZero"/>
        <c:auto val="1"/>
        <c:lblAlgn val="ctr"/>
        <c:lblOffset val="100"/>
        <c:noMultiLvlLbl val="0"/>
      </c:catAx>
      <c:valAx>
        <c:axId val="956570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520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3</xdr:col>
      <xdr:colOff>0</xdr:colOff>
      <xdr:row>19</xdr:row>
      <xdr:rowOff>10948</xdr:rowOff>
    </xdr:from>
    <xdr:to>
      <xdr:col>9</xdr:col>
      <xdr:colOff>459828</xdr:colOff>
      <xdr:row>31</xdr:row>
      <xdr:rowOff>164225</xdr:rowOff>
    </xdr:to>
    <xdr:sp macro="" textlink="">
      <xdr:nvSpPr>
        <xdr:cNvPr id="63" name="Rectangle 62">
          <a:extLst>
            <a:ext uri="{FF2B5EF4-FFF2-40B4-BE49-F238E27FC236}">
              <a16:creationId xmlns:a16="http://schemas.microsoft.com/office/drawing/2014/main" id="{199BDFDA-95D6-51B4-B05D-87B6A5A7474A}"/>
            </a:ext>
          </a:extLst>
        </xdr:cNvPr>
        <xdr:cNvSpPr/>
      </xdr:nvSpPr>
      <xdr:spPr>
        <a:xfrm>
          <a:off x="1970690" y="3547241"/>
          <a:ext cx="4401207" cy="2386725"/>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558362</xdr:colOff>
      <xdr:row>3</xdr:row>
      <xdr:rowOff>43793</xdr:rowOff>
    </xdr:from>
    <xdr:to>
      <xdr:col>13</xdr:col>
      <xdr:colOff>580259</xdr:colOff>
      <xdr:row>16</xdr:row>
      <xdr:rowOff>0</xdr:rowOff>
    </xdr:to>
    <xdr:graphicFrame macro="">
      <xdr:nvGraphicFramePr>
        <xdr:cNvPr id="60" name="Chart 59">
          <a:extLst>
            <a:ext uri="{FF2B5EF4-FFF2-40B4-BE49-F238E27FC236}">
              <a16:creationId xmlns:a16="http://schemas.microsoft.com/office/drawing/2014/main" id="{2D07BB54-FCA4-4BFE-98F9-530553146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419100</xdr:colOff>
      <xdr:row>2</xdr:row>
      <xdr:rowOff>133350</xdr:rowOff>
    </xdr:from>
    <xdr:to>
      <xdr:col>2</xdr:col>
      <xdr:colOff>501650</xdr:colOff>
      <xdr:row>8</xdr:row>
      <xdr:rowOff>88900</xdr:rowOff>
    </xdr:to>
    <xdr:sp macro="" textlink="Pivots!A4">
      <xdr:nvSpPr>
        <xdr:cNvPr id="2" name="Rectangle 1">
          <a:extLst>
            <a:ext uri="{FF2B5EF4-FFF2-40B4-BE49-F238E27FC236}">
              <a16:creationId xmlns:a16="http://schemas.microsoft.com/office/drawing/2014/main" id="{99DE7D6C-5F83-BCE7-3481-988D460600C2}"/>
            </a:ext>
          </a:extLst>
        </xdr:cNvPr>
        <xdr:cNvSpPr/>
      </xdr:nvSpPr>
      <xdr:spPr>
        <a:xfrm>
          <a:off x="419100" y="501650"/>
          <a:ext cx="1403350" cy="1060450"/>
        </a:xfrm>
        <a:prstGeom prst="rect">
          <a:avLst/>
        </a:prstGeom>
        <a:solidFill>
          <a:schemeClr val="accent6">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EE9730-5E59-4A55-8760-06708AE3EF1A}" type="TxLink">
            <a:rPr lang="en-US" sz="2000" b="0" i="0" u="none" strike="noStrike">
              <a:solidFill>
                <a:schemeClr val="tx1"/>
              </a:solidFill>
              <a:latin typeface="+mj-lt"/>
            </a:rPr>
            <a:pPr algn="ctr"/>
            <a:t>1,000</a:t>
          </a:fld>
          <a:endParaRPr lang="en-IN" sz="2000">
            <a:solidFill>
              <a:schemeClr val="tx1"/>
            </a:solidFill>
            <a:latin typeface="+mj-lt"/>
          </a:endParaRPr>
        </a:p>
      </xdr:txBody>
    </xdr:sp>
    <xdr:clientData/>
  </xdr:twoCellAnchor>
  <xdr:twoCellAnchor>
    <xdr:from>
      <xdr:col>1</xdr:col>
      <xdr:colOff>114300</xdr:colOff>
      <xdr:row>3</xdr:row>
      <xdr:rowOff>44450</xdr:rowOff>
    </xdr:from>
    <xdr:to>
      <xdr:col>2</xdr:col>
      <xdr:colOff>139700</xdr:colOff>
      <xdr:row>4</xdr:row>
      <xdr:rowOff>38100</xdr:rowOff>
    </xdr:to>
    <xdr:sp macro="" textlink="">
      <xdr:nvSpPr>
        <xdr:cNvPr id="3" name="TextBox 2">
          <a:extLst>
            <a:ext uri="{FF2B5EF4-FFF2-40B4-BE49-F238E27FC236}">
              <a16:creationId xmlns:a16="http://schemas.microsoft.com/office/drawing/2014/main" id="{CD59BEF3-16C8-4A36-6AE4-07016348B250}"/>
            </a:ext>
          </a:extLst>
        </xdr:cNvPr>
        <xdr:cNvSpPr txBox="1"/>
      </xdr:nvSpPr>
      <xdr:spPr>
        <a:xfrm>
          <a:off x="774700" y="596900"/>
          <a:ext cx="685800" cy="17780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latin typeface="+mj-lt"/>
            </a:rPr>
            <a:t>Calls</a:t>
          </a:r>
        </a:p>
      </xdr:txBody>
    </xdr:sp>
    <xdr:clientData/>
  </xdr:twoCellAnchor>
  <xdr:twoCellAnchor>
    <xdr:from>
      <xdr:col>1</xdr:col>
      <xdr:colOff>241300</xdr:colOff>
      <xdr:row>6</xdr:row>
      <xdr:rowOff>146050</xdr:rowOff>
    </xdr:from>
    <xdr:to>
      <xdr:col>2</xdr:col>
      <xdr:colOff>12700</xdr:colOff>
      <xdr:row>7</xdr:row>
      <xdr:rowOff>146050</xdr:rowOff>
    </xdr:to>
    <xdr:sp macro="" textlink="Pivots!A10">
      <xdr:nvSpPr>
        <xdr:cNvPr id="39" name="TextBox 38">
          <a:extLst>
            <a:ext uri="{FF2B5EF4-FFF2-40B4-BE49-F238E27FC236}">
              <a16:creationId xmlns:a16="http://schemas.microsoft.com/office/drawing/2014/main" id="{BC941D72-8C1B-DC51-3E28-B87D88FE70A8}"/>
            </a:ext>
          </a:extLst>
        </xdr:cNvPr>
        <xdr:cNvSpPr txBox="1"/>
      </xdr:nvSpPr>
      <xdr:spPr>
        <a:xfrm>
          <a:off x="901700" y="1250950"/>
          <a:ext cx="431800" cy="18415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A4E9C1E-07CE-4919-9196-D64BE6B5356F}" type="TxLink">
            <a:rPr lang="en-US" sz="1050" b="0" i="0" u="none" strike="noStrike">
              <a:solidFill>
                <a:srgbClr val="000000"/>
              </a:solidFill>
              <a:latin typeface="+mj-lt"/>
            </a:rPr>
            <a:t>207</a:t>
          </a:fld>
          <a:endParaRPr lang="en-IN" sz="1050">
            <a:latin typeface="+mj-lt"/>
          </a:endParaRPr>
        </a:p>
      </xdr:txBody>
    </xdr:sp>
    <xdr:clientData/>
  </xdr:twoCellAnchor>
  <xdr:twoCellAnchor>
    <xdr:from>
      <xdr:col>0</xdr:col>
      <xdr:colOff>387350</xdr:colOff>
      <xdr:row>10</xdr:row>
      <xdr:rowOff>12700</xdr:rowOff>
    </xdr:from>
    <xdr:to>
      <xdr:col>2</xdr:col>
      <xdr:colOff>469900</xdr:colOff>
      <xdr:row>15</xdr:row>
      <xdr:rowOff>152400</xdr:rowOff>
    </xdr:to>
    <xdr:sp macro="" textlink="Pivots!B4">
      <xdr:nvSpPr>
        <xdr:cNvPr id="40" name="Rectangle 39">
          <a:extLst>
            <a:ext uri="{FF2B5EF4-FFF2-40B4-BE49-F238E27FC236}">
              <a16:creationId xmlns:a16="http://schemas.microsoft.com/office/drawing/2014/main" id="{7B880201-5FCF-4CE9-8D38-C605BB8BAB53}"/>
            </a:ext>
          </a:extLst>
        </xdr:cNvPr>
        <xdr:cNvSpPr/>
      </xdr:nvSpPr>
      <xdr:spPr>
        <a:xfrm>
          <a:off x="387350" y="1854200"/>
          <a:ext cx="1403350" cy="1060450"/>
        </a:xfrm>
        <a:prstGeom prst="rect">
          <a:avLst/>
        </a:prstGeom>
        <a:solidFill>
          <a:schemeClr val="accent6">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C2E43F-0625-488F-9D42-78CD11E03062}" type="TxLink">
            <a:rPr lang="en-US" sz="2000" b="0" i="0" u="none" strike="noStrike">
              <a:solidFill>
                <a:srgbClr val="000000"/>
              </a:solidFill>
              <a:latin typeface="+mj-lt"/>
            </a:rPr>
            <a:t>₹ 96,623</a:t>
          </a:fld>
          <a:endParaRPr lang="en-IN" sz="2000">
            <a:solidFill>
              <a:schemeClr val="tx1"/>
            </a:solidFill>
            <a:latin typeface="+mj-lt"/>
          </a:endParaRPr>
        </a:p>
      </xdr:txBody>
    </xdr:sp>
    <xdr:clientData/>
  </xdr:twoCellAnchor>
  <xdr:twoCellAnchor>
    <xdr:from>
      <xdr:col>1</xdr:col>
      <xdr:colOff>95250</xdr:colOff>
      <xdr:row>10</xdr:row>
      <xdr:rowOff>101600</xdr:rowOff>
    </xdr:from>
    <xdr:to>
      <xdr:col>2</xdr:col>
      <xdr:colOff>120650</xdr:colOff>
      <xdr:row>11</xdr:row>
      <xdr:rowOff>95250</xdr:rowOff>
    </xdr:to>
    <xdr:sp macro="" textlink="">
      <xdr:nvSpPr>
        <xdr:cNvPr id="41" name="TextBox 40">
          <a:extLst>
            <a:ext uri="{FF2B5EF4-FFF2-40B4-BE49-F238E27FC236}">
              <a16:creationId xmlns:a16="http://schemas.microsoft.com/office/drawing/2014/main" id="{EC2AB581-D858-4008-A8B1-B7E44F8C3FFC}"/>
            </a:ext>
          </a:extLst>
        </xdr:cNvPr>
        <xdr:cNvSpPr txBox="1"/>
      </xdr:nvSpPr>
      <xdr:spPr>
        <a:xfrm>
          <a:off x="755650" y="1943100"/>
          <a:ext cx="685800" cy="17780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latin typeface="+mj-lt"/>
            </a:rPr>
            <a:t>Amount</a:t>
          </a:r>
        </a:p>
      </xdr:txBody>
    </xdr:sp>
    <xdr:clientData/>
  </xdr:twoCellAnchor>
  <xdr:twoCellAnchor>
    <xdr:from>
      <xdr:col>1</xdr:col>
      <xdr:colOff>254000</xdr:colOff>
      <xdr:row>13</xdr:row>
      <xdr:rowOff>165100</xdr:rowOff>
    </xdr:from>
    <xdr:to>
      <xdr:col>2</xdr:col>
      <xdr:colOff>25400</xdr:colOff>
      <xdr:row>14</xdr:row>
      <xdr:rowOff>165100</xdr:rowOff>
    </xdr:to>
    <xdr:sp macro="" textlink="Pivots!B10">
      <xdr:nvSpPr>
        <xdr:cNvPr id="42" name="TextBox 41">
          <a:extLst>
            <a:ext uri="{FF2B5EF4-FFF2-40B4-BE49-F238E27FC236}">
              <a16:creationId xmlns:a16="http://schemas.microsoft.com/office/drawing/2014/main" id="{B2B84132-ECD2-40C0-A5E0-34319CD10695}"/>
            </a:ext>
          </a:extLst>
        </xdr:cNvPr>
        <xdr:cNvSpPr txBox="1"/>
      </xdr:nvSpPr>
      <xdr:spPr>
        <a:xfrm>
          <a:off x="914400" y="2559050"/>
          <a:ext cx="431800" cy="18415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5A97915-39BD-4692-89D4-227372134DAD}" type="TxLink">
            <a:rPr lang="en-US" sz="1100" b="0" i="0" u="none" strike="noStrike">
              <a:solidFill>
                <a:srgbClr val="000000"/>
              </a:solidFill>
              <a:latin typeface="Aptos"/>
            </a:rPr>
            <a:t>$20,872.00</a:t>
          </a:fld>
          <a:endParaRPr lang="en-IN" sz="1000">
            <a:latin typeface="+mj-lt"/>
          </a:endParaRPr>
        </a:p>
      </xdr:txBody>
    </xdr:sp>
    <xdr:clientData/>
  </xdr:twoCellAnchor>
  <xdr:twoCellAnchor>
    <xdr:from>
      <xdr:col>0</xdr:col>
      <xdr:colOff>384503</xdr:colOff>
      <xdr:row>17</xdr:row>
      <xdr:rowOff>56493</xdr:rowOff>
    </xdr:from>
    <xdr:to>
      <xdr:col>2</xdr:col>
      <xdr:colOff>467053</xdr:colOff>
      <xdr:row>23</xdr:row>
      <xdr:rowOff>10072</xdr:rowOff>
    </xdr:to>
    <xdr:sp macro="" textlink="Pivots!C4">
      <xdr:nvSpPr>
        <xdr:cNvPr id="43" name="Rectangle 42">
          <a:extLst>
            <a:ext uri="{FF2B5EF4-FFF2-40B4-BE49-F238E27FC236}">
              <a16:creationId xmlns:a16="http://schemas.microsoft.com/office/drawing/2014/main" id="{0A9A381E-198A-4CAB-9186-146F3F4E5FFF}"/>
            </a:ext>
          </a:extLst>
        </xdr:cNvPr>
        <xdr:cNvSpPr/>
      </xdr:nvSpPr>
      <xdr:spPr>
        <a:xfrm>
          <a:off x="384503" y="3220545"/>
          <a:ext cx="1396343" cy="1070303"/>
        </a:xfrm>
        <a:prstGeom prst="rect">
          <a:avLst/>
        </a:prstGeom>
        <a:solidFill>
          <a:schemeClr val="accent6">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C31618-C57E-4F9F-95C8-6A4EA703D648}" type="TxLink">
            <a:rPr lang="en-US" sz="2000" b="0" i="0" u="none" strike="noStrike">
              <a:solidFill>
                <a:srgbClr val="000000"/>
              </a:solidFill>
              <a:latin typeface="+mj-lt"/>
            </a:rPr>
            <a:t>89,850</a:t>
          </a:fld>
          <a:endParaRPr lang="en-IN" sz="2000">
            <a:solidFill>
              <a:schemeClr val="tx1"/>
            </a:solidFill>
            <a:latin typeface="+mj-lt"/>
          </a:endParaRPr>
        </a:p>
      </xdr:txBody>
    </xdr:sp>
    <xdr:clientData/>
  </xdr:twoCellAnchor>
  <xdr:twoCellAnchor>
    <xdr:from>
      <xdr:col>1</xdr:col>
      <xdr:colOff>63500</xdr:colOff>
      <xdr:row>18</xdr:row>
      <xdr:rowOff>6350</xdr:rowOff>
    </xdr:from>
    <xdr:to>
      <xdr:col>2</xdr:col>
      <xdr:colOff>165100</xdr:colOff>
      <xdr:row>18</xdr:row>
      <xdr:rowOff>139700</xdr:rowOff>
    </xdr:to>
    <xdr:sp macro="" textlink="">
      <xdr:nvSpPr>
        <xdr:cNvPr id="44" name="TextBox 43">
          <a:extLst>
            <a:ext uri="{FF2B5EF4-FFF2-40B4-BE49-F238E27FC236}">
              <a16:creationId xmlns:a16="http://schemas.microsoft.com/office/drawing/2014/main" id="{8EC41572-A33C-4A59-9E06-5A52020407B0}"/>
            </a:ext>
          </a:extLst>
        </xdr:cNvPr>
        <xdr:cNvSpPr txBox="1"/>
      </xdr:nvSpPr>
      <xdr:spPr>
        <a:xfrm>
          <a:off x="723900" y="3321050"/>
          <a:ext cx="762000" cy="13335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latin typeface="+mj-lt"/>
            </a:rPr>
            <a:t>Duration</a:t>
          </a:r>
        </a:p>
      </xdr:txBody>
    </xdr:sp>
    <xdr:clientData/>
  </xdr:twoCellAnchor>
  <xdr:twoCellAnchor>
    <xdr:from>
      <xdr:col>1</xdr:col>
      <xdr:colOff>228600</xdr:colOff>
      <xdr:row>21</xdr:row>
      <xdr:rowOff>63500</xdr:rowOff>
    </xdr:from>
    <xdr:to>
      <xdr:col>2</xdr:col>
      <xdr:colOff>0</xdr:colOff>
      <xdr:row>22</xdr:row>
      <xdr:rowOff>63500</xdr:rowOff>
    </xdr:to>
    <xdr:sp macro="" textlink="Pivots!C10">
      <xdr:nvSpPr>
        <xdr:cNvPr id="45" name="TextBox 44">
          <a:extLst>
            <a:ext uri="{FF2B5EF4-FFF2-40B4-BE49-F238E27FC236}">
              <a16:creationId xmlns:a16="http://schemas.microsoft.com/office/drawing/2014/main" id="{70A64840-8416-42CA-B31F-2DE5082FE1CE}"/>
            </a:ext>
          </a:extLst>
        </xdr:cNvPr>
        <xdr:cNvSpPr txBox="1"/>
      </xdr:nvSpPr>
      <xdr:spPr>
        <a:xfrm>
          <a:off x="889000" y="3930650"/>
          <a:ext cx="431800" cy="18415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240CAB3-0468-4EA0-8DB3-D373C6E29D3F}" type="TxLink">
            <a:rPr lang="en-US" sz="1100" b="0" i="0" u="none" strike="noStrike">
              <a:solidFill>
                <a:srgbClr val="000000"/>
              </a:solidFill>
              <a:latin typeface="Aptos"/>
            </a:rPr>
            <a:t>17,700</a:t>
          </a:fld>
          <a:endParaRPr lang="en-IN" sz="1000">
            <a:latin typeface="+mj-lt"/>
          </a:endParaRPr>
        </a:p>
      </xdr:txBody>
    </xdr:sp>
    <xdr:clientData/>
  </xdr:twoCellAnchor>
  <xdr:twoCellAnchor>
    <xdr:from>
      <xdr:col>0</xdr:col>
      <xdr:colOff>387350</xdr:colOff>
      <xdr:row>24</xdr:row>
      <xdr:rowOff>31750</xdr:rowOff>
    </xdr:from>
    <xdr:to>
      <xdr:col>2</xdr:col>
      <xdr:colOff>469900</xdr:colOff>
      <xdr:row>29</xdr:row>
      <xdr:rowOff>171450</xdr:rowOff>
    </xdr:to>
    <xdr:sp macro="" textlink="Pivots!D4">
      <xdr:nvSpPr>
        <xdr:cNvPr id="46" name="Rectangle 45">
          <a:extLst>
            <a:ext uri="{FF2B5EF4-FFF2-40B4-BE49-F238E27FC236}">
              <a16:creationId xmlns:a16="http://schemas.microsoft.com/office/drawing/2014/main" id="{61FB65F8-6672-4025-B418-811ECF1B5A3D}"/>
            </a:ext>
          </a:extLst>
        </xdr:cNvPr>
        <xdr:cNvSpPr/>
      </xdr:nvSpPr>
      <xdr:spPr>
        <a:xfrm>
          <a:off x="387350" y="4451350"/>
          <a:ext cx="1403350" cy="1060450"/>
        </a:xfrm>
        <a:prstGeom prst="rect">
          <a:avLst/>
        </a:prstGeom>
        <a:solidFill>
          <a:schemeClr val="accent6">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44590D-23A2-48BA-A428-007E5C134519}" type="TxLink">
            <a:rPr lang="en-US" sz="2000" b="0" i="0" u="none" strike="noStrike">
              <a:solidFill>
                <a:srgbClr val="000000"/>
              </a:solidFill>
              <a:latin typeface="+mj-lt"/>
            </a:rPr>
            <a:t>4</a:t>
          </a:fld>
          <a:endParaRPr lang="en-IN" sz="2000">
            <a:solidFill>
              <a:schemeClr val="tx1"/>
            </a:solidFill>
            <a:latin typeface="+mj-lt"/>
          </a:endParaRPr>
        </a:p>
      </xdr:txBody>
    </xdr:sp>
    <xdr:clientData/>
  </xdr:twoCellAnchor>
  <xdr:twoCellAnchor>
    <xdr:from>
      <xdr:col>0</xdr:col>
      <xdr:colOff>654050</xdr:colOff>
      <xdr:row>25</xdr:row>
      <xdr:rowOff>0</xdr:rowOff>
    </xdr:from>
    <xdr:to>
      <xdr:col>2</xdr:col>
      <xdr:colOff>203200</xdr:colOff>
      <xdr:row>25</xdr:row>
      <xdr:rowOff>177800</xdr:rowOff>
    </xdr:to>
    <xdr:sp macro="" textlink="">
      <xdr:nvSpPr>
        <xdr:cNvPr id="47" name="TextBox 46">
          <a:extLst>
            <a:ext uri="{FF2B5EF4-FFF2-40B4-BE49-F238E27FC236}">
              <a16:creationId xmlns:a16="http://schemas.microsoft.com/office/drawing/2014/main" id="{B5AB5FCD-280E-4037-B6AB-BB562E3BC053}"/>
            </a:ext>
          </a:extLst>
        </xdr:cNvPr>
        <xdr:cNvSpPr txBox="1"/>
      </xdr:nvSpPr>
      <xdr:spPr>
        <a:xfrm>
          <a:off x="654050" y="4603750"/>
          <a:ext cx="869950" cy="17780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latin typeface="+mj-lt"/>
            </a:rPr>
            <a:t>Avg.Rating</a:t>
          </a:r>
        </a:p>
      </xdr:txBody>
    </xdr:sp>
    <xdr:clientData/>
  </xdr:twoCellAnchor>
  <xdr:twoCellAnchor>
    <xdr:from>
      <xdr:col>1</xdr:col>
      <xdr:colOff>266700</xdr:colOff>
      <xdr:row>28</xdr:row>
      <xdr:rowOff>82550</xdr:rowOff>
    </xdr:from>
    <xdr:to>
      <xdr:col>2</xdr:col>
      <xdr:colOff>38100</xdr:colOff>
      <xdr:row>29</xdr:row>
      <xdr:rowOff>82550</xdr:rowOff>
    </xdr:to>
    <xdr:sp macro="" textlink="Pivots!D10">
      <xdr:nvSpPr>
        <xdr:cNvPr id="48" name="TextBox 47">
          <a:extLst>
            <a:ext uri="{FF2B5EF4-FFF2-40B4-BE49-F238E27FC236}">
              <a16:creationId xmlns:a16="http://schemas.microsoft.com/office/drawing/2014/main" id="{78170906-ACE9-454A-8194-7C72C4D39FCC}"/>
            </a:ext>
          </a:extLst>
        </xdr:cNvPr>
        <xdr:cNvSpPr txBox="1"/>
      </xdr:nvSpPr>
      <xdr:spPr>
        <a:xfrm>
          <a:off x="927100" y="5238750"/>
          <a:ext cx="431800" cy="18415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78FB92C-1A2B-49B7-A17C-9D3EA0D4B246}" type="TxLink">
            <a:rPr lang="en-US" sz="1000" b="0" i="0" u="none" strike="noStrike">
              <a:solidFill>
                <a:srgbClr val="000000"/>
              </a:solidFill>
              <a:latin typeface="+mj-lt"/>
            </a:rPr>
            <a:t>4</a:t>
          </a:fld>
          <a:endParaRPr lang="en-IN" sz="1000">
            <a:latin typeface="+mj-lt"/>
          </a:endParaRPr>
        </a:p>
      </xdr:txBody>
    </xdr:sp>
    <xdr:clientData/>
  </xdr:twoCellAnchor>
  <xdr:twoCellAnchor>
    <xdr:from>
      <xdr:col>0</xdr:col>
      <xdr:colOff>336550</xdr:colOff>
      <xdr:row>31</xdr:row>
      <xdr:rowOff>101600</xdr:rowOff>
    </xdr:from>
    <xdr:to>
      <xdr:col>2</xdr:col>
      <xdr:colOff>419100</xdr:colOff>
      <xdr:row>37</xdr:row>
      <xdr:rowOff>0</xdr:rowOff>
    </xdr:to>
    <xdr:sp macro="" textlink="Pivots!E4">
      <xdr:nvSpPr>
        <xdr:cNvPr id="49" name="Rectangle 48">
          <a:extLst>
            <a:ext uri="{FF2B5EF4-FFF2-40B4-BE49-F238E27FC236}">
              <a16:creationId xmlns:a16="http://schemas.microsoft.com/office/drawing/2014/main" id="{0C72B4FA-577A-4226-97EB-BF2D52D1C7B5}"/>
            </a:ext>
          </a:extLst>
        </xdr:cNvPr>
        <xdr:cNvSpPr/>
      </xdr:nvSpPr>
      <xdr:spPr>
        <a:xfrm>
          <a:off x="336550" y="5810250"/>
          <a:ext cx="1403350" cy="1060450"/>
        </a:xfrm>
        <a:prstGeom prst="rect">
          <a:avLst/>
        </a:prstGeom>
        <a:solidFill>
          <a:schemeClr val="accent6">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5DF662-AC93-470D-8043-059994AE98D1}" type="TxLink">
            <a:rPr lang="en-US" sz="2000" b="0" i="0" u="none" strike="noStrike">
              <a:solidFill>
                <a:srgbClr val="000000"/>
              </a:solidFill>
              <a:latin typeface="+mj-lt"/>
            </a:rPr>
            <a:t>307</a:t>
          </a:fld>
          <a:endParaRPr lang="en-IN" sz="2000">
            <a:solidFill>
              <a:schemeClr val="tx1"/>
            </a:solidFill>
            <a:latin typeface="+mj-lt"/>
          </a:endParaRPr>
        </a:p>
      </xdr:txBody>
    </xdr:sp>
    <xdr:clientData/>
  </xdr:twoCellAnchor>
  <xdr:twoCellAnchor>
    <xdr:from>
      <xdr:col>0</xdr:col>
      <xdr:colOff>387350</xdr:colOff>
      <xdr:row>32</xdr:row>
      <xdr:rowOff>69850</xdr:rowOff>
    </xdr:from>
    <xdr:to>
      <xdr:col>2</xdr:col>
      <xdr:colOff>419100</xdr:colOff>
      <xdr:row>33</xdr:row>
      <xdr:rowOff>38100</xdr:rowOff>
    </xdr:to>
    <xdr:sp macro="" textlink="">
      <xdr:nvSpPr>
        <xdr:cNvPr id="50" name="TextBox 49">
          <a:extLst>
            <a:ext uri="{FF2B5EF4-FFF2-40B4-BE49-F238E27FC236}">
              <a16:creationId xmlns:a16="http://schemas.microsoft.com/office/drawing/2014/main" id="{2F483D12-D957-4243-9F1D-00F7CEEC1834}"/>
            </a:ext>
          </a:extLst>
        </xdr:cNvPr>
        <xdr:cNvSpPr txBox="1"/>
      </xdr:nvSpPr>
      <xdr:spPr>
        <a:xfrm>
          <a:off x="387350" y="5962650"/>
          <a:ext cx="1352550" cy="15240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latin typeface="+mj-lt"/>
            </a:rPr>
            <a:t>Happy</a:t>
          </a:r>
          <a:r>
            <a:rPr lang="en-IN" sz="1050" baseline="0">
              <a:latin typeface="+mj-lt"/>
            </a:rPr>
            <a:t> Callers</a:t>
          </a:r>
          <a:endParaRPr lang="en-IN" sz="1050">
            <a:latin typeface="+mj-lt"/>
          </a:endParaRPr>
        </a:p>
      </xdr:txBody>
    </xdr:sp>
    <xdr:clientData/>
  </xdr:twoCellAnchor>
  <xdr:twoCellAnchor>
    <xdr:from>
      <xdr:col>1</xdr:col>
      <xdr:colOff>254000</xdr:colOff>
      <xdr:row>35</xdr:row>
      <xdr:rowOff>146050</xdr:rowOff>
    </xdr:from>
    <xdr:to>
      <xdr:col>2</xdr:col>
      <xdr:colOff>25400</xdr:colOff>
      <xdr:row>36</xdr:row>
      <xdr:rowOff>146050</xdr:rowOff>
    </xdr:to>
    <xdr:sp macro="" textlink="Pivots!E10">
      <xdr:nvSpPr>
        <xdr:cNvPr id="51" name="TextBox 50">
          <a:extLst>
            <a:ext uri="{FF2B5EF4-FFF2-40B4-BE49-F238E27FC236}">
              <a16:creationId xmlns:a16="http://schemas.microsoft.com/office/drawing/2014/main" id="{1288741B-70A4-4F29-B0FD-26C53A9A1AA8}"/>
            </a:ext>
          </a:extLst>
        </xdr:cNvPr>
        <xdr:cNvSpPr txBox="1"/>
      </xdr:nvSpPr>
      <xdr:spPr>
        <a:xfrm>
          <a:off x="914400" y="6591300"/>
          <a:ext cx="431800" cy="184150"/>
        </a:xfrm>
        <a:prstGeom prst="rect">
          <a:avLst/>
        </a:prstGeom>
        <a:solidFill>
          <a:schemeClr val="accent6">
            <a:lumMod val="75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3E9BBA6-1D4F-459B-A2EA-8978A1DD13E7}" type="TxLink">
            <a:rPr lang="en-US" sz="1000" b="0" i="0" u="none" strike="noStrike">
              <a:solidFill>
                <a:srgbClr val="000000"/>
              </a:solidFill>
              <a:latin typeface="+mj-lt"/>
            </a:rPr>
            <a:t>60</a:t>
          </a:fld>
          <a:endParaRPr lang="en-IN" sz="1000">
            <a:latin typeface="+mj-lt"/>
          </a:endParaRPr>
        </a:p>
      </xdr:txBody>
    </xdr:sp>
    <xdr:clientData/>
  </xdr:twoCellAnchor>
  <xdr:twoCellAnchor editAs="oneCell">
    <xdr:from>
      <xdr:col>1</xdr:col>
      <xdr:colOff>82550</xdr:colOff>
      <xdr:row>3</xdr:row>
      <xdr:rowOff>38101</xdr:rowOff>
    </xdr:from>
    <xdr:to>
      <xdr:col>1</xdr:col>
      <xdr:colOff>287695</xdr:colOff>
      <xdr:row>4</xdr:row>
      <xdr:rowOff>50800</xdr:rowOff>
    </xdr:to>
    <xdr:pic>
      <xdr:nvPicPr>
        <xdr:cNvPr id="53" name="Graphic 52" descr="Receiver with solid fill">
          <a:extLst>
            <a:ext uri="{FF2B5EF4-FFF2-40B4-BE49-F238E27FC236}">
              <a16:creationId xmlns:a16="http://schemas.microsoft.com/office/drawing/2014/main" id="{0E3F93E7-9EF5-4A90-8C19-0CB055ABBEA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42950" y="590551"/>
          <a:ext cx="205145" cy="196849"/>
        </a:xfrm>
        <a:prstGeom prst="rect">
          <a:avLst/>
        </a:prstGeom>
      </xdr:spPr>
    </xdr:pic>
    <xdr:clientData/>
  </xdr:twoCellAnchor>
  <xdr:twoCellAnchor editAs="oneCell">
    <xdr:from>
      <xdr:col>0</xdr:col>
      <xdr:colOff>590550</xdr:colOff>
      <xdr:row>10</xdr:row>
      <xdr:rowOff>57150</xdr:rowOff>
    </xdr:from>
    <xdr:to>
      <xdr:col>1</xdr:col>
      <xdr:colOff>193792</xdr:colOff>
      <xdr:row>11</xdr:row>
      <xdr:rowOff>120650</xdr:rowOff>
    </xdr:to>
    <xdr:pic>
      <xdr:nvPicPr>
        <xdr:cNvPr id="54" name="Graphic 53" descr="Shopping cart with solid fill">
          <a:extLst>
            <a:ext uri="{FF2B5EF4-FFF2-40B4-BE49-F238E27FC236}">
              <a16:creationId xmlns:a16="http://schemas.microsoft.com/office/drawing/2014/main" id="{EE5A3676-A17A-4E21-9638-DF70E7EA366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90550" y="1898650"/>
          <a:ext cx="263642" cy="247650"/>
        </a:xfrm>
        <a:prstGeom prst="rect">
          <a:avLst/>
        </a:prstGeom>
      </xdr:spPr>
    </xdr:pic>
    <xdr:clientData/>
  </xdr:twoCellAnchor>
  <xdr:twoCellAnchor editAs="oneCell">
    <xdr:from>
      <xdr:col>0</xdr:col>
      <xdr:colOff>590550</xdr:colOff>
      <xdr:row>17</xdr:row>
      <xdr:rowOff>114300</xdr:rowOff>
    </xdr:from>
    <xdr:to>
      <xdr:col>1</xdr:col>
      <xdr:colOff>196850</xdr:colOff>
      <xdr:row>19</xdr:row>
      <xdr:rowOff>7308</xdr:rowOff>
    </xdr:to>
    <xdr:pic>
      <xdr:nvPicPr>
        <xdr:cNvPr id="55" name="Graphic 54" descr="Hourglass Finished with solid fill">
          <a:extLst>
            <a:ext uri="{FF2B5EF4-FFF2-40B4-BE49-F238E27FC236}">
              <a16:creationId xmlns:a16="http://schemas.microsoft.com/office/drawing/2014/main" id="{0B71CB4D-E030-408E-9272-C7E313488F1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90550" y="3244850"/>
          <a:ext cx="266700" cy="261308"/>
        </a:xfrm>
        <a:prstGeom prst="rect">
          <a:avLst/>
        </a:prstGeom>
      </xdr:spPr>
    </xdr:pic>
    <xdr:clientData/>
  </xdr:twoCellAnchor>
  <xdr:twoCellAnchor editAs="oneCell">
    <xdr:from>
      <xdr:col>0</xdr:col>
      <xdr:colOff>457200</xdr:colOff>
      <xdr:row>24</xdr:row>
      <xdr:rowOff>158751</xdr:rowOff>
    </xdr:from>
    <xdr:to>
      <xdr:col>1</xdr:col>
      <xdr:colOff>61454</xdr:colOff>
      <xdr:row>26</xdr:row>
      <xdr:rowOff>44451</xdr:rowOff>
    </xdr:to>
    <xdr:pic>
      <xdr:nvPicPr>
        <xdr:cNvPr id="56" name="Graphic 55" descr="Rating Star with solid fill">
          <a:extLst>
            <a:ext uri="{FF2B5EF4-FFF2-40B4-BE49-F238E27FC236}">
              <a16:creationId xmlns:a16="http://schemas.microsoft.com/office/drawing/2014/main" id="{482431E8-B25D-4B02-9843-69D3EF1F54D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rot="20017794">
          <a:off x="457200" y="4578351"/>
          <a:ext cx="264654" cy="254000"/>
        </a:xfrm>
        <a:prstGeom prst="rect">
          <a:avLst/>
        </a:prstGeom>
      </xdr:spPr>
    </xdr:pic>
    <xdr:clientData/>
  </xdr:twoCellAnchor>
  <xdr:twoCellAnchor editAs="oneCell">
    <xdr:from>
      <xdr:col>0</xdr:col>
      <xdr:colOff>355600</xdr:colOff>
      <xdr:row>32</xdr:row>
      <xdr:rowOff>19051</xdr:rowOff>
    </xdr:from>
    <xdr:to>
      <xdr:col>0</xdr:col>
      <xdr:colOff>620304</xdr:colOff>
      <xdr:row>33</xdr:row>
      <xdr:rowOff>88901</xdr:rowOff>
    </xdr:to>
    <xdr:pic>
      <xdr:nvPicPr>
        <xdr:cNvPr id="57" name="Graphic 56" descr="Star-struck face outline with solid fill">
          <a:extLst>
            <a:ext uri="{FF2B5EF4-FFF2-40B4-BE49-F238E27FC236}">
              <a16:creationId xmlns:a16="http://schemas.microsoft.com/office/drawing/2014/main" id="{977CF731-86AF-46A5-B303-B68BAB6EE44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55600" y="5911851"/>
          <a:ext cx="264704" cy="254000"/>
        </a:xfrm>
        <a:prstGeom prst="rect">
          <a:avLst/>
        </a:prstGeom>
      </xdr:spPr>
    </xdr:pic>
    <xdr:clientData/>
  </xdr:twoCellAnchor>
  <xdr:twoCellAnchor editAs="oneCell">
    <xdr:from>
      <xdr:col>10</xdr:col>
      <xdr:colOff>131379</xdr:colOff>
      <xdr:row>18</xdr:row>
      <xdr:rowOff>109482</xdr:rowOff>
    </xdr:from>
    <xdr:to>
      <xdr:col>12</xdr:col>
      <xdr:colOff>646386</xdr:colOff>
      <xdr:row>32</xdr:row>
      <xdr:rowOff>123164</xdr:rowOff>
    </xdr:to>
    <mc:AlternateContent xmlns:mc="http://schemas.openxmlformats.org/markup-compatibility/2006">
      <mc:Choice xmlns:a14="http://schemas.microsoft.com/office/drawing/2010/main" Requires="a14">
        <xdr:graphicFrame macro="">
          <xdr:nvGraphicFramePr>
            <xdr:cNvPr id="58" name="Representative">
              <a:extLst>
                <a:ext uri="{FF2B5EF4-FFF2-40B4-BE49-F238E27FC236}">
                  <a16:creationId xmlns:a16="http://schemas.microsoft.com/office/drawing/2014/main" id="{4DA227AC-6B8D-4B92-AD5A-E180E18BD5E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765707" y="3673064"/>
              <a:ext cx="1841873" cy="2534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142328</xdr:colOff>
      <xdr:row>2</xdr:row>
      <xdr:rowOff>131379</xdr:rowOff>
    </xdr:from>
    <xdr:to>
      <xdr:col>9</xdr:col>
      <xdr:colOff>620549</xdr:colOff>
      <xdr:row>17</xdr:row>
      <xdr:rowOff>82768</xdr:rowOff>
    </xdr:to>
    <xdr:graphicFrame macro="">
      <xdr:nvGraphicFramePr>
        <xdr:cNvPr id="59" name="Chart 58">
          <a:extLst>
            <a:ext uri="{FF2B5EF4-FFF2-40B4-BE49-F238E27FC236}">
              <a16:creationId xmlns:a16="http://schemas.microsoft.com/office/drawing/2014/main" id="{99873176-A690-4220-A797-1D9164C80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xdr:colOff>
      <xdr:row>19</xdr:row>
      <xdr:rowOff>0</xdr:rowOff>
    </xdr:from>
    <xdr:to>
      <xdr:col>6</xdr:col>
      <xdr:colOff>262760</xdr:colOff>
      <xdr:row>31</xdr:row>
      <xdr:rowOff>148860</xdr:rowOff>
    </xdr:to>
    <xdr:graphicFrame macro="">
      <xdr:nvGraphicFramePr>
        <xdr:cNvPr id="61" name="Chart 60">
          <a:extLst>
            <a:ext uri="{FF2B5EF4-FFF2-40B4-BE49-F238E27FC236}">
              <a16:creationId xmlns:a16="http://schemas.microsoft.com/office/drawing/2014/main" id="{5E3C97AD-D9BC-435A-8CB8-6A07453D1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65690</xdr:colOff>
      <xdr:row>19</xdr:row>
      <xdr:rowOff>0</xdr:rowOff>
    </xdr:from>
    <xdr:to>
      <xdr:col>9</xdr:col>
      <xdr:colOff>459828</xdr:colOff>
      <xdr:row>31</xdr:row>
      <xdr:rowOff>153093</xdr:rowOff>
    </xdr:to>
    <xdr:graphicFrame macro="">
      <xdr:nvGraphicFramePr>
        <xdr:cNvPr id="62" name="Chart 61">
          <a:extLst>
            <a:ext uri="{FF2B5EF4-FFF2-40B4-BE49-F238E27FC236}">
              <a16:creationId xmlns:a16="http://schemas.microsoft.com/office/drawing/2014/main" id="{3EE8D5F2-5D4C-40D5-8370-94DF4844B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295603</xdr:colOff>
      <xdr:row>2</xdr:row>
      <xdr:rowOff>120432</xdr:rowOff>
    </xdr:from>
    <xdr:to>
      <xdr:col>18</xdr:col>
      <xdr:colOff>306552</xdr:colOff>
      <xdr:row>16</xdr:row>
      <xdr:rowOff>109483</xdr:rowOff>
    </xdr:to>
    <xdr:graphicFrame macro="">
      <xdr:nvGraphicFramePr>
        <xdr:cNvPr id="64" name="Chart 63">
          <a:extLst>
            <a:ext uri="{FF2B5EF4-FFF2-40B4-BE49-F238E27FC236}">
              <a16:creationId xmlns:a16="http://schemas.microsoft.com/office/drawing/2014/main" id="{10BA5C2A-C4FC-4B58-B8A6-D194A638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405087</xdr:colOff>
      <xdr:row>2</xdr:row>
      <xdr:rowOff>153277</xdr:rowOff>
    </xdr:from>
    <xdr:to>
      <xdr:col>22</xdr:col>
      <xdr:colOff>602155</xdr:colOff>
      <xdr:row>16</xdr:row>
      <xdr:rowOff>131379</xdr:rowOff>
    </xdr:to>
    <xdr:graphicFrame macro="">
      <xdr:nvGraphicFramePr>
        <xdr:cNvPr id="65" name="Chart 64">
          <a:extLst>
            <a:ext uri="{FF2B5EF4-FFF2-40B4-BE49-F238E27FC236}">
              <a16:creationId xmlns:a16="http://schemas.microsoft.com/office/drawing/2014/main" id="{54EEDE64-3B5C-45D7-A434-60EB20E1D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055.620391898148" backgroundQuery="1" createdVersion="8" refreshedVersion="8" minRefreshableVersion="3" recordCount="0" supportSubquery="1" supportAdvancedDrill="1" xr:uid="{D54924A0-9447-421E-AFE9-43AF33706F6C}">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056.54534571759" backgroundQuery="1" createdVersion="8" refreshedVersion="8" minRefreshableVersion="3" recordCount="0" supportSubquery="1" supportAdvancedDrill="1" xr:uid="{16A504F1-1CE9-453E-9926-E4C4113C41F3}">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056.583185995369" backgroundQuery="1" createdVersion="8" refreshedVersion="8" minRefreshableVersion="3" recordCount="0" supportSubquery="1" supportAdvancedDrill="1" xr:uid="{1A808D06-CC8E-4F4E-88B3-C644360A0649}">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056.633552662039" backgroundQuery="1" createdVersion="8" refreshedVersion="8" minRefreshableVersion="3" recordCount="0" supportSubquery="1" supportAdvancedDrill="1" xr:uid="{1F34BEFF-944E-41A1-A8C7-9B43BF4A5A4F}">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056.662699537039" backgroundQuery="1" createdVersion="8" refreshedVersion="8" minRefreshableVersion="3" recordCount="0" supportSubquery="1" supportAdvancedDrill="1" xr:uid="{F3EDFFB0-02C3-444E-8DBC-3E4224315791}">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056.662700115739" backgroundQuery="1" createdVersion="8" refreshedVersion="8" minRefreshableVersion="3" recordCount="0" supportSubquery="1" supportAdvancedDrill="1" xr:uid="{03DB4AFD-F5DD-43EC-AB20-F1C46114F0EE}">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056.662700578701" backgroundQuery="1" createdVersion="8" refreshedVersion="8" minRefreshableVersion="3" recordCount="0" supportSubquery="1" supportAdvancedDrill="1" xr:uid="{DDA45B81-A9E0-4A0C-B4D0-33A3B5068DB7}">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056.662700925925" backgroundQuery="1" createdVersion="8" refreshedVersion="8" minRefreshableVersion="3" recordCount="0" supportSubquery="1" supportAdvancedDrill="1" xr:uid="{F40308F2-AA21-4F54-9F15-42A70A890FDC}">
  <cacheSource type="external" connectionId="1"/>
  <cacheFields count="1">
    <cacheField name="[calls].[Representative].[Representative]" caption="Representative" numFmtId="0" hierarchy="3" level="1">
      <sharedItems count="1">
        <s v="R03"/>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056.662701273148" backgroundQuery="1" createdVersion="8" refreshedVersion="8" minRefreshableVersion="3" recordCount="0" supportSubquery="1" supportAdvancedDrill="1" xr:uid="{96A43A30-905A-421C-B4FD-D8C943E689A8}">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 refreshedDate="46055.620386111113" backgroundQuery="1" createdVersion="3" refreshedVersion="8" minRefreshableVersion="3" recordCount="0" supportSubquery="1" supportAdvancedDrill="1" xr:uid="{1D49CB4F-F5F6-4749-A40E-F1A257E91FF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137636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D40A4F-E592-4D12-BAB9-E71145200A81}" name="rep amounts" cacheId="56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location ref="A75:G94"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55E5B9-1B6F-4C84-A3D6-3ABE9BD3CDCA}" name="rep satisfaction" cacheId="7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64:B71"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7EA53A-2456-4BB4-8FE8-958AA8C88CFC}" name="PivotTable9" cacheId="4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56:D61"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4">
    <chartFormat chart="2" format="2" series="1">
      <pivotArea type="data" outline="0" fieldPosition="0">
        <references count="2">
          <reference field="4294967294" count="1" selected="0">
            <x v="0"/>
          </reference>
          <reference field="0" count="1" selected="0">
            <x v="0"/>
          </reference>
        </references>
      </pivotArea>
    </chartFormat>
    <chartFormat chart="2" format="3"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A437E0-E23C-4E02-9D03-4D63B100B659}" name="Selected rep" cacheId="7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8:A4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8">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3E290C-721A-485E-9758-13209FB354AF}" name="reps pivot" cacheId="2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4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8C57B2-1900-4CB9-80DA-2C0CD248624A}" name="weekday trend" cacheId="7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F16:G2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9"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7D9D1D-A548-4268-92EB-7843EEA760C5}" name="monthly trend" cacheId="7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C2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A54793-AFA6-46EC-8354-F712F57FE072}" name="Rep Pivot" cacheId="7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1" numFmtId="166"/>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17F102-7A62-4820-A85C-D431CD7E75E9}" name="Summary Pivot"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4A820C48-22B9-4C05-A54E-849D8521AC19}" sourceName="[calls].[Representative]">
  <pivotTables>
    <pivotTable tabId="6" name="Rep Pivot"/>
    <pivotTable tabId="6" name="monthly trend"/>
    <pivotTable tabId="6" name="weekday trend"/>
    <pivotTable tabId="6" name="Selected rep"/>
    <pivotTable tabId="6" name="rep satisfaction"/>
  </pivotTables>
  <data>
    <olap pivotCacheId="51376367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421C316D-50DD-4314-951B-4032AF2FD411}" cache="Slicer_Representative" caption="Representative" level="1" style="SlicerStyleDark6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2"/>
    <tableColumn id="5" xr3:uid="{5A35565E-8707-4DED-AD15-A0669D67B382}" name="Date of Call" dataDxfId="31"/>
    <tableColumn id="6" xr3:uid="{F2E4F158-B41F-47BC-8DF8-DFCADFEE4E40}" name="Purchase Amount"/>
    <tableColumn id="7" xr3:uid="{04B291B5-47BD-4F78-8FD8-D1551CCA6BD9}" name="Satisfaction Rating"/>
    <tableColumn id="8" xr3:uid="{6E4123C0-0B17-43B8-A142-A1E540CE974C}" name="FY" dataDxfId="30">
      <calculatedColumnFormula>IF(MONTH(calls[[#This Row],[Date of Call]])&lt;=6, YEAR(calls[[#This Row],[Date of Call]]), YEAR(calls[[#This Row],[Date of Call]])+1)</calculatedColumnFormula>
    </tableColumn>
    <tableColumn id="9" xr3:uid="{199FA271-5E9B-46CE-9BC6-2801F92CD17E}" name="Day of week" dataDxfId="29">
      <calculatedColumnFormula>TEXT(calls[[#This Row],[Date of Call]],"DDDD")</calculatedColumnFormula>
    </tableColumn>
    <tableColumn id="10" xr3:uid="{328CDB09-95B8-4D5E-9ED9-EF0D363735A1}" name="Duration Bucket" dataDxfId="28">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7">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6" headerRowBorderDxfId="25" tableBorderDxfId="24" totalsRowBorderDxfId="23">
  <autoFilter ref="Q3:T18" xr:uid="{27158F51-A707-4171-8A04-81FB0AABCBA5}"/>
  <tableColumns count="4">
    <tableColumn id="1" xr3:uid="{02688061-6A8C-4E23-B7FF-D00CD8B58CAC}" name="Customer ID" dataDxfId="22"/>
    <tableColumn id="2" xr3:uid="{771678B6-DB44-426B-9874-B4E421A440D5}" name="Gedner" dataDxfId="21"/>
    <tableColumn id="3" xr3:uid="{B0D41C62-587E-494D-B49A-603F2C05F8D3}" name="Age" dataDxfId="20"/>
    <tableColumn id="4" xr3:uid="{663F92D6-FE31-4D81-9E01-8D066DDC8A88}" name="City" dataDxfId="1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0E67B-F317-4744-BDBC-D1399C7DDD3A}">
  <dimension ref="A3:J94"/>
  <sheetViews>
    <sheetView topLeftCell="A17" zoomScale="33" zoomScaleNormal="60" workbookViewId="0">
      <selection activeCell="G94" sqref="G94"/>
    </sheetView>
  </sheetViews>
  <sheetFormatPr defaultRowHeight="14.5" x14ac:dyDescent="0.35"/>
  <cols>
    <col min="1" max="1" width="13.83203125" bestFit="1" customWidth="1"/>
    <col min="2" max="2" width="9.83203125" bestFit="1" customWidth="1"/>
    <col min="3" max="3" width="10.83203125" bestFit="1" customWidth="1"/>
    <col min="4" max="4" width="10.08203125" bestFit="1" customWidth="1"/>
    <col min="5" max="5" width="6.75" bestFit="1" customWidth="1"/>
    <col min="6" max="6" width="13.83203125" bestFit="1" customWidth="1"/>
    <col min="7" max="8" width="9.83203125" bestFit="1" customWidth="1"/>
    <col min="9" max="9" width="12.1640625" bestFit="1" customWidth="1"/>
    <col min="10" max="10" width="9.83203125" bestFit="1" customWidth="1"/>
    <col min="11" max="11" width="12.1640625" bestFit="1" customWidth="1"/>
    <col min="12" max="12" width="14.5" bestFit="1" customWidth="1"/>
    <col min="13" max="13" width="17" bestFit="1" customWidth="1"/>
  </cols>
  <sheetData>
    <row r="3" spans="1:7" x14ac:dyDescent="0.35">
      <c r="A3" t="s">
        <v>1040</v>
      </c>
      <c r="B3" t="s">
        <v>1041</v>
      </c>
      <c r="C3" t="s">
        <v>1042</v>
      </c>
      <c r="D3" t="s">
        <v>1043</v>
      </c>
      <c r="E3" t="s">
        <v>1044</v>
      </c>
    </row>
    <row r="4" spans="1:7" x14ac:dyDescent="0.35">
      <c r="A4" s="21">
        <v>1000</v>
      </c>
      <c r="B4" s="22">
        <v>96623</v>
      </c>
      <c r="C4" s="21">
        <v>89850</v>
      </c>
      <c r="D4" s="21">
        <v>3.8854000000000033</v>
      </c>
      <c r="E4" s="21">
        <v>307</v>
      </c>
    </row>
    <row r="9" spans="1:7" x14ac:dyDescent="0.35">
      <c r="A9" t="s">
        <v>1040</v>
      </c>
      <c r="B9" t="s">
        <v>1041</v>
      </c>
      <c r="C9" t="s">
        <v>1042</v>
      </c>
      <c r="D9" t="s">
        <v>1043</v>
      </c>
      <c r="E9" t="s">
        <v>1044</v>
      </c>
    </row>
    <row r="10" spans="1:7" x14ac:dyDescent="0.35">
      <c r="A10" s="21">
        <v>207</v>
      </c>
      <c r="B10" s="25">
        <v>20872</v>
      </c>
      <c r="C10" s="21">
        <v>17700</v>
      </c>
      <c r="D10" s="21">
        <v>3.8589371980676304</v>
      </c>
      <c r="E10" s="21">
        <v>60</v>
      </c>
    </row>
    <row r="15" spans="1:7" ht="14" customHeight="1" x14ac:dyDescent="0.35"/>
    <row r="16" spans="1:7" x14ac:dyDescent="0.35">
      <c r="A16" s="23" t="s">
        <v>1045</v>
      </c>
      <c r="B16" t="s">
        <v>1040</v>
      </c>
      <c r="C16" t="s">
        <v>1066</v>
      </c>
      <c r="F16" s="23" t="s">
        <v>1045</v>
      </c>
      <c r="G16" t="s">
        <v>1040</v>
      </c>
    </row>
    <row r="17" spans="1:7" x14ac:dyDescent="0.35">
      <c r="A17" s="24" t="s">
        <v>1054</v>
      </c>
      <c r="B17" s="21">
        <v>13</v>
      </c>
      <c r="C17" s="21">
        <v>13</v>
      </c>
      <c r="F17" s="24" t="s">
        <v>1047</v>
      </c>
      <c r="G17" s="21">
        <v>30</v>
      </c>
    </row>
    <row r="18" spans="1:7" x14ac:dyDescent="0.35">
      <c r="A18" s="24" t="s">
        <v>1055</v>
      </c>
      <c r="B18" s="21">
        <v>13</v>
      </c>
      <c r="C18" s="21">
        <v>13</v>
      </c>
      <c r="F18" s="24" t="s">
        <v>1052</v>
      </c>
      <c r="G18" s="21">
        <v>34</v>
      </c>
    </row>
    <row r="19" spans="1:7" x14ac:dyDescent="0.35">
      <c r="A19" s="24" t="s">
        <v>1056</v>
      </c>
      <c r="B19" s="21">
        <v>28</v>
      </c>
      <c r="C19" s="21">
        <v>28</v>
      </c>
      <c r="F19" s="24" t="s">
        <v>1048</v>
      </c>
      <c r="G19" s="21">
        <v>26</v>
      </c>
    </row>
    <row r="20" spans="1:7" x14ac:dyDescent="0.35">
      <c r="A20" s="24" t="s">
        <v>1057</v>
      </c>
      <c r="B20" s="21">
        <v>24</v>
      </c>
      <c r="C20" s="21">
        <v>24</v>
      </c>
      <c r="F20" s="24" t="s">
        <v>1049</v>
      </c>
      <c r="G20" s="21">
        <v>38</v>
      </c>
    </row>
    <row r="21" spans="1:7" x14ac:dyDescent="0.35">
      <c r="A21" s="24" t="s">
        <v>1058</v>
      </c>
      <c r="B21" s="21">
        <v>23</v>
      </c>
      <c r="C21" s="21">
        <v>23</v>
      </c>
      <c r="F21" s="24" t="s">
        <v>1050</v>
      </c>
      <c r="G21" s="21">
        <v>27</v>
      </c>
    </row>
    <row r="22" spans="1:7" x14ac:dyDescent="0.35">
      <c r="A22" s="24" t="s">
        <v>1059</v>
      </c>
      <c r="B22" s="21">
        <v>17</v>
      </c>
      <c r="C22" s="21">
        <v>17</v>
      </c>
      <c r="F22" s="24" t="s">
        <v>1053</v>
      </c>
      <c r="G22" s="21">
        <v>27</v>
      </c>
    </row>
    <row r="23" spans="1:7" x14ac:dyDescent="0.35">
      <c r="A23" s="24" t="s">
        <v>1060</v>
      </c>
      <c r="B23" s="21">
        <v>11</v>
      </c>
      <c r="C23" s="21">
        <v>11</v>
      </c>
      <c r="F23" s="24" t="s">
        <v>1051</v>
      </c>
      <c r="G23" s="21">
        <v>25</v>
      </c>
    </row>
    <row r="24" spans="1:7" x14ac:dyDescent="0.35">
      <c r="A24" s="24" t="s">
        <v>1061</v>
      </c>
      <c r="B24" s="21">
        <v>11</v>
      </c>
      <c r="C24" s="21">
        <v>11</v>
      </c>
      <c r="F24" s="24" t="s">
        <v>1046</v>
      </c>
      <c r="G24" s="21">
        <v>207</v>
      </c>
    </row>
    <row r="25" spans="1:7" x14ac:dyDescent="0.35">
      <c r="A25" s="24" t="s">
        <v>1062</v>
      </c>
      <c r="B25" s="21">
        <v>14</v>
      </c>
      <c r="C25" s="21">
        <v>14</v>
      </c>
    </row>
    <row r="26" spans="1:7" x14ac:dyDescent="0.35">
      <c r="A26" s="24" t="s">
        <v>1063</v>
      </c>
      <c r="B26" s="21">
        <v>30</v>
      </c>
      <c r="C26" s="21">
        <v>30</v>
      </c>
    </row>
    <row r="27" spans="1:7" x14ac:dyDescent="0.35">
      <c r="A27" s="24" t="s">
        <v>1064</v>
      </c>
      <c r="B27" s="21">
        <v>14</v>
      </c>
      <c r="C27" s="21">
        <v>14</v>
      </c>
    </row>
    <row r="28" spans="1:7" x14ac:dyDescent="0.35">
      <c r="A28" s="24" t="s">
        <v>1065</v>
      </c>
      <c r="B28" s="21">
        <v>9</v>
      </c>
      <c r="C28" s="21">
        <v>9</v>
      </c>
    </row>
    <row r="29" spans="1:7" x14ac:dyDescent="0.35">
      <c r="A29" s="24" t="s">
        <v>1046</v>
      </c>
      <c r="B29" s="21">
        <v>207</v>
      </c>
      <c r="C29" s="21">
        <v>207</v>
      </c>
    </row>
    <row r="32" spans="1:7" x14ac:dyDescent="0.35">
      <c r="F32" t="s">
        <v>1067</v>
      </c>
    </row>
    <row r="34" spans="1:10" x14ac:dyDescent="0.35">
      <c r="I34" t="s">
        <v>1073</v>
      </c>
      <c r="J34" t="str">
        <f>A49</f>
        <v>R03</v>
      </c>
    </row>
    <row r="36" spans="1:10" x14ac:dyDescent="0.35">
      <c r="A36" s="23" t="s">
        <v>1045</v>
      </c>
      <c r="B36" t="s">
        <v>1040</v>
      </c>
      <c r="C36" t="s">
        <v>1041</v>
      </c>
      <c r="F36" t="s">
        <v>1068</v>
      </c>
      <c r="G36" t="s">
        <v>1069</v>
      </c>
      <c r="H36" t="s">
        <v>1070</v>
      </c>
      <c r="I36" t="s">
        <v>1071</v>
      </c>
      <c r="J36" t="s">
        <v>1072</v>
      </c>
    </row>
    <row r="37" spans="1:10" x14ac:dyDescent="0.35">
      <c r="A37" s="24" t="s">
        <v>11</v>
      </c>
      <c r="B37" s="21">
        <v>189</v>
      </c>
      <c r="C37" s="22">
        <v>18415</v>
      </c>
      <c r="F37" t="str" cm="1">
        <f t="array" ref="F37:H41">A37:C41</f>
        <v>R01</v>
      </c>
      <c r="G37">
        <v>189</v>
      </c>
      <c r="H37" s="26">
        <v>18415</v>
      </c>
      <c r="I37" t="e">
        <f>IF(F37=$J$34,G37,NA())</f>
        <v>#N/A</v>
      </c>
      <c r="J37" t="e">
        <f>IF(F37=$J$34,H37,NA())</f>
        <v>#N/A</v>
      </c>
    </row>
    <row r="38" spans="1:10" x14ac:dyDescent="0.35">
      <c r="A38" s="24" t="s">
        <v>9</v>
      </c>
      <c r="B38" s="21">
        <v>218</v>
      </c>
      <c r="C38" s="22">
        <v>20581</v>
      </c>
      <c r="F38" t="str">
        <v>R02</v>
      </c>
      <c r="G38">
        <v>218</v>
      </c>
      <c r="H38" s="26">
        <v>20581</v>
      </c>
      <c r="I38" t="e">
        <f t="shared" ref="I38:I41" si="0">IF(F38=$J$34,G38,NA())</f>
        <v>#N/A</v>
      </c>
      <c r="J38" t="e">
        <f t="shared" ref="J38:J41" si="1">IF(F38=$J$34,H38,NA())</f>
        <v>#N/A</v>
      </c>
    </row>
    <row r="39" spans="1:10" x14ac:dyDescent="0.35">
      <c r="A39" s="24" t="s">
        <v>6</v>
      </c>
      <c r="B39" s="21">
        <v>207</v>
      </c>
      <c r="C39" s="22">
        <v>20872</v>
      </c>
      <c r="F39" t="str">
        <v>R03</v>
      </c>
      <c r="G39">
        <v>207</v>
      </c>
      <c r="H39" s="26">
        <v>20872</v>
      </c>
      <c r="I39">
        <f t="shared" si="0"/>
        <v>207</v>
      </c>
      <c r="J39">
        <f t="shared" si="1"/>
        <v>20872</v>
      </c>
    </row>
    <row r="40" spans="1:10" x14ac:dyDescent="0.35">
      <c r="A40" s="24" t="s">
        <v>13</v>
      </c>
      <c r="B40" s="21">
        <v>186</v>
      </c>
      <c r="C40" s="22">
        <v>16651</v>
      </c>
      <c r="F40" t="str">
        <v>R04</v>
      </c>
      <c r="G40">
        <v>186</v>
      </c>
      <c r="H40" s="26">
        <v>16651</v>
      </c>
      <c r="I40" t="e">
        <f t="shared" si="0"/>
        <v>#N/A</v>
      </c>
      <c r="J40" t="e">
        <f t="shared" si="1"/>
        <v>#N/A</v>
      </c>
    </row>
    <row r="41" spans="1:10" x14ac:dyDescent="0.35">
      <c r="A41" s="24" t="s">
        <v>10</v>
      </c>
      <c r="B41" s="21">
        <v>200</v>
      </c>
      <c r="C41" s="22">
        <v>20104</v>
      </c>
      <c r="F41" t="str">
        <v>R05</v>
      </c>
      <c r="G41">
        <v>200</v>
      </c>
      <c r="H41" s="26">
        <v>20104</v>
      </c>
      <c r="I41" t="e">
        <f t="shared" si="0"/>
        <v>#N/A</v>
      </c>
      <c r="J41" t="e">
        <f t="shared" si="1"/>
        <v>#N/A</v>
      </c>
    </row>
    <row r="42" spans="1:10" x14ac:dyDescent="0.35">
      <c r="A42" s="24" t="s">
        <v>1046</v>
      </c>
      <c r="B42" s="21">
        <v>1000</v>
      </c>
      <c r="C42" s="22">
        <v>96623</v>
      </c>
    </row>
    <row r="48" spans="1:10" x14ac:dyDescent="0.35">
      <c r="A48" s="23" t="s">
        <v>1045</v>
      </c>
    </row>
    <row r="49" spans="1:4" x14ac:dyDescent="0.35">
      <c r="A49" s="27" t="s">
        <v>6</v>
      </c>
    </row>
    <row r="56" spans="1:4" x14ac:dyDescent="0.35">
      <c r="A56" s="23" t="s">
        <v>1040</v>
      </c>
      <c r="B56" s="23" t="s">
        <v>1074</v>
      </c>
    </row>
    <row r="57" spans="1:4" x14ac:dyDescent="0.35">
      <c r="A57" s="23" t="s">
        <v>1045</v>
      </c>
      <c r="B57" t="s">
        <v>999</v>
      </c>
      <c r="C57" t="s">
        <v>998</v>
      </c>
      <c r="D57" t="s">
        <v>1046</v>
      </c>
    </row>
    <row r="58" spans="1:4" x14ac:dyDescent="0.35">
      <c r="A58" s="24" t="s">
        <v>1002</v>
      </c>
      <c r="B58" s="21">
        <v>144</v>
      </c>
      <c r="C58" s="21">
        <v>132</v>
      </c>
      <c r="D58" s="21">
        <v>276</v>
      </c>
    </row>
    <row r="59" spans="1:4" x14ac:dyDescent="0.35">
      <c r="A59" s="24" t="s">
        <v>1001</v>
      </c>
      <c r="B59" s="21">
        <v>326</v>
      </c>
      <c r="C59" s="21">
        <v>63</v>
      </c>
      <c r="D59" s="21">
        <v>389</v>
      </c>
    </row>
    <row r="60" spans="1:4" x14ac:dyDescent="0.35">
      <c r="A60" s="24" t="s">
        <v>1000</v>
      </c>
      <c r="B60" s="21">
        <v>129</v>
      </c>
      <c r="C60" s="21">
        <v>206</v>
      </c>
      <c r="D60" s="21">
        <v>335</v>
      </c>
    </row>
    <row r="61" spans="1:4" x14ac:dyDescent="0.35">
      <c r="A61" s="24" t="s">
        <v>1046</v>
      </c>
      <c r="B61" s="21">
        <v>599</v>
      </c>
      <c r="C61" s="21">
        <v>401</v>
      </c>
      <c r="D61" s="21">
        <v>1000</v>
      </c>
    </row>
    <row r="64" spans="1:4" x14ac:dyDescent="0.35">
      <c r="A64" s="23" t="s">
        <v>1045</v>
      </c>
      <c r="B64" t="s">
        <v>1040</v>
      </c>
    </row>
    <row r="65" spans="1:7" x14ac:dyDescent="0.35">
      <c r="A65" s="24">
        <v>0</v>
      </c>
      <c r="B65" s="21">
        <v>1</v>
      </c>
    </row>
    <row r="66" spans="1:7" x14ac:dyDescent="0.35">
      <c r="A66" s="24">
        <v>1</v>
      </c>
      <c r="B66" s="21">
        <v>1</v>
      </c>
    </row>
    <row r="67" spans="1:7" x14ac:dyDescent="0.35">
      <c r="A67" s="24">
        <v>2</v>
      </c>
      <c r="B67" s="21">
        <v>11</v>
      </c>
    </row>
    <row r="68" spans="1:7" x14ac:dyDescent="0.35">
      <c r="A68" s="24">
        <v>3</v>
      </c>
      <c r="B68" s="21">
        <v>46</v>
      </c>
    </row>
    <row r="69" spans="1:7" x14ac:dyDescent="0.35">
      <c r="A69" s="24">
        <v>4</v>
      </c>
      <c r="B69" s="21">
        <v>88</v>
      </c>
    </row>
    <row r="70" spans="1:7" x14ac:dyDescent="0.35">
      <c r="A70" s="24">
        <v>5</v>
      </c>
      <c r="B70" s="21">
        <v>60</v>
      </c>
    </row>
    <row r="71" spans="1:7" x14ac:dyDescent="0.35">
      <c r="A71" s="24" t="s">
        <v>1046</v>
      </c>
      <c r="B71" s="21">
        <v>207</v>
      </c>
    </row>
    <row r="75" spans="1:7" x14ac:dyDescent="0.35">
      <c r="A75" s="23" t="s">
        <v>1041</v>
      </c>
      <c r="B75" s="23" t="s">
        <v>1074</v>
      </c>
    </row>
    <row r="76" spans="1:7" x14ac:dyDescent="0.35">
      <c r="A76" s="23" t="s">
        <v>1045</v>
      </c>
      <c r="B76" t="s">
        <v>11</v>
      </c>
      <c r="C76" t="s">
        <v>9</v>
      </c>
      <c r="D76" t="s">
        <v>6</v>
      </c>
      <c r="E76" t="s">
        <v>13</v>
      </c>
      <c r="F76" t="s">
        <v>10</v>
      </c>
      <c r="G76" t="s">
        <v>1046</v>
      </c>
    </row>
    <row r="77" spans="1:7" x14ac:dyDescent="0.35">
      <c r="A77" s="24" t="s">
        <v>1002</v>
      </c>
      <c r="B77" s="28"/>
      <c r="C77" s="28"/>
      <c r="D77" s="28"/>
      <c r="E77" s="28"/>
      <c r="F77" s="28"/>
      <c r="G77" s="28"/>
    </row>
    <row r="78" spans="1:7" x14ac:dyDescent="0.35">
      <c r="A78" s="29" t="s">
        <v>20</v>
      </c>
      <c r="B78" s="22">
        <v>891</v>
      </c>
      <c r="C78" s="22">
        <v>1332</v>
      </c>
      <c r="D78" s="22">
        <v>1282</v>
      </c>
      <c r="E78" s="22">
        <v>739</v>
      </c>
      <c r="F78" s="22">
        <v>560</v>
      </c>
      <c r="G78" s="22">
        <v>4804</v>
      </c>
    </row>
    <row r="79" spans="1:7" x14ac:dyDescent="0.35">
      <c r="A79" s="29" t="s">
        <v>12</v>
      </c>
      <c r="B79" s="22">
        <v>1991</v>
      </c>
      <c r="C79" s="22">
        <v>1886</v>
      </c>
      <c r="D79" s="22">
        <v>1206</v>
      </c>
      <c r="E79" s="22">
        <v>884</v>
      </c>
      <c r="F79" s="22">
        <v>1722</v>
      </c>
      <c r="G79" s="22">
        <v>7689</v>
      </c>
    </row>
    <row r="80" spans="1:7" x14ac:dyDescent="0.35">
      <c r="A80" s="29" t="s">
        <v>8</v>
      </c>
      <c r="B80" s="22">
        <v>1163</v>
      </c>
      <c r="C80" s="22">
        <v>1180</v>
      </c>
      <c r="D80" s="22">
        <v>1616</v>
      </c>
      <c r="E80" s="22">
        <v>1043</v>
      </c>
      <c r="F80" s="22">
        <v>1747</v>
      </c>
      <c r="G80" s="22">
        <v>6749</v>
      </c>
    </row>
    <row r="81" spans="1:7" x14ac:dyDescent="0.35">
      <c r="A81" s="29" t="s">
        <v>16</v>
      </c>
      <c r="B81" s="22">
        <v>1438</v>
      </c>
      <c r="C81" s="22">
        <v>1616</v>
      </c>
      <c r="D81" s="22">
        <v>866</v>
      </c>
      <c r="E81" s="22">
        <v>829</v>
      </c>
      <c r="F81" s="22">
        <v>2070</v>
      </c>
      <c r="G81" s="22">
        <v>6819</v>
      </c>
    </row>
    <row r="82" spans="1:7" x14ac:dyDescent="0.35">
      <c r="A82" s="24" t="s">
        <v>1001</v>
      </c>
      <c r="B82" s="28"/>
      <c r="C82" s="28"/>
      <c r="D82" s="28"/>
      <c r="E82" s="28"/>
      <c r="F82" s="28"/>
      <c r="G82" s="28"/>
    </row>
    <row r="83" spans="1:7" x14ac:dyDescent="0.35">
      <c r="A83" s="29" t="s">
        <v>24</v>
      </c>
      <c r="B83" s="22">
        <v>1233</v>
      </c>
      <c r="C83" s="22">
        <v>223</v>
      </c>
      <c r="D83" s="22">
        <v>1680</v>
      </c>
      <c r="E83" s="22">
        <v>990</v>
      </c>
      <c r="F83" s="22">
        <v>1508</v>
      </c>
      <c r="G83" s="22">
        <v>5634</v>
      </c>
    </row>
    <row r="84" spans="1:7" x14ac:dyDescent="0.35">
      <c r="A84" s="29" t="s">
        <v>15</v>
      </c>
      <c r="B84" s="22">
        <v>1598</v>
      </c>
      <c r="C84" s="22">
        <v>1907</v>
      </c>
      <c r="D84" s="22">
        <v>869</v>
      </c>
      <c r="E84" s="22">
        <v>1426</v>
      </c>
      <c r="F84" s="22">
        <v>1416</v>
      </c>
      <c r="G84" s="22">
        <v>7216</v>
      </c>
    </row>
    <row r="85" spans="1:7" x14ac:dyDescent="0.35">
      <c r="A85" s="29" t="s">
        <v>5</v>
      </c>
      <c r="B85" s="22">
        <v>900</v>
      </c>
      <c r="C85" s="22">
        <v>1016</v>
      </c>
      <c r="D85" s="22">
        <v>960</v>
      </c>
      <c r="E85" s="22">
        <v>940</v>
      </c>
      <c r="F85" s="22">
        <v>1193</v>
      </c>
      <c r="G85" s="22">
        <v>5009</v>
      </c>
    </row>
    <row r="86" spans="1:7" x14ac:dyDescent="0.35">
      <c r="A86" s="29" t="s">
        <v>18</v>
      </c>
      <c r="B86" s="22">
        <v>900</v>
      </c>
      <c r="C86" s="22">
        <v>1470</v>
      </c>
      <c r="D86" s="22">
        <v>1617</v>
      </c>
      <c r="E86" s="22">
        <v>1314</v>
      </c>
      <c r="F86" s="22">
        <v>941</v>
      </c>
      <c r="G86" s="22">
        <v>6242</v>
      </c>
    </row>
    <row r="87" spans="1:7" x14ac:dyDescent="0.35">
      <c r="A87" s="29" t="s">
        <v>14</v>
      </c>
      <c r="B87" s="22">
        <v>1255</v>
      </c>
      <c r="C87" s="22">
        <v>516</v>
      </c>
      <c r="D87" s="22">
        <v>1874</v>
      </c>
      <c r="E87" s="22">
        <v>1863</v>
      </c>
      <c r="F87" s="22">
        <v>1722</v>
      </c>
      <c r="G87" s="22">
        <v>7230</v>
      </c>
    </row>
    <row r="88" spans="1:7" x14ac:dyDescent="0.35">
      <c r="A88" s="29" t="s">
        <v>19</v>
      </c>
      <c r="B88" s="22">
        <v>1138</v>
      </c>
      <c r="C88" s="22">
        <v>1898</v>
      </c>
      <c r="D88" s="22">
        <v>1482</v>
      </c>
      <c r="E88" s="22">
        <v>846</v>
      </c>
      <c r="F88" s="22">
        <v>1154</v>
      </c>
      <c r="G88" s="22">
        <v>6518</v>
      </c>
    </row>
    <row r="89" spans="1:7" x14ac:dyDescent="0.35">
      <c r="A89" s="24" t="s">
        <v>1000</v>
      </c>
      <c r="B89" s="28"/>
      <c r="C89" s="28"/>
      <c r="D89" s="28"/>
      <c r="E89" s="28"/>
      <c r="F89" s="28"/>
      <c r="G89" s="28"/>
    </row>
    <row r="90" spans="1:7" x14ac:dyDescent="0.35">
      <c r="A90" s="29" t="s">
        <v>17</v>
      </c>
      <c r="B90" s="22">
        <v>1655</v>
      </c>
      <c r="C90" s="22">
        <v>805</v>
      </c>
      <c r="D90" s="22">
        <v>2263</v>
      </c>
      <c r="E90" s="22">
        <v>987</v>
      </c>
      <c r="F90" s="22">
        <v>1075</v>
      </c>
      <c r="G90" s="22">
        <v>6785</v>
      </c>
    </row>
    <row r="91" spans="1:7" x14ac:dyDescent="0.35">
      <c r="A91" s="29" t="s">
        <v>23</v>
      </c>
      <c r="B91" s="22">
        <v>1104</v>
      </c>
      <c r="C91" s="22">
        <v>2280</v>
      </c>
      <c r="D91" s="22">
        <v>1445</v>
      </c>
      <c r="E91" s="22">
        <v>1722</v>
      </c>
      <c r="F91" s="22">
        <v>1196</v>
      </c>
      <c r="G91" s="22">
        <v>7747</v>
      </c>
    </row>
    <row r="92" spans="1:7" x14ac:dyDescent="0.35">
      <c r="A92" s="29" t="s">
        <v>7</v>
      </c>
      <c r="B92" s="22">
        <v>372</v>
      </c>
      <c r="C92" s="22">
        <v>1818</v>
      </c>
      <c r="D92" s="22">
        <v>1346</v>
      </c>
      <c r="E92" s="22">
        <v>1156</v>
      </c>
      <c r="F92" s="22">
        <v>1484</v>
      </c>
      <c r="G92" s="22">
        <v>6176</v>
      </c>
    </row>
    <row r="93" spans="1:7" x14ac:dyDescent="0.35">
      <c r="A93" s="29" t="s">
        <v>22</v>
      </c>
      <c r="B93" s="22">
        <v>1415</v>
      </c>
      <c r="C93" s="22">
        <v>1271</v>
      </c>
      <c r="D93" s="22">
        <v>1214</v>
      </c>
      <c r="E93" s="22">
        <v>1135</v>
      </c>
      <c r="F93" s="22">
        <v>1566</v>
      </c>
      <c r="G93" s="22">
        <v>6601</v>
      </c>
    </row>
    <row r="94" spans="1:7" x14ac:dyDescent="0.35">
      <c r="A94" s="29" t="s">
        <v>21</v>
      </c>
      <c r="B94" s="22">
        <v>1362</v>
      </c>
      <c r="C94" s="22">
        <v>1363</v>
      </c>
      <c r="D94" s="22">
        <v>1152</v>
      </c>
      <c r="E94" s="22">
        <v>777</v>
      </c>
      <c r="F94" s="22">
        <v>750</v>
      </c>
      <c r="G94" s="22">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92" zoomScaleNormal="115" workbookViewId="0">
      <selection activeCell="C9" sqref="C9"/>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20D7-81F6-4826-B359-698BDAD037FC}">
  <dimension ref="A1:AM89"/>
  <sheetViews>
    <sheetView zoomScale="67" zoomScaleNormal="58" workbookViewId="0">
      <selection activeCell="J1" sqref="J1"/>
    </sheetView>
  </sheetViews>
  <sheetFormatPr defaultRowHeight="14.5" x14ac:dyDescent="0.35"/>
  <cols>
    <col min="15" max="15" width="12.6640625" customWidth="1"/>
  </cols>
  <sheetData>
    <row r="1" spans="1:39" ht="39.5" customHeight="1" x14ac:dyDescent="0.35">
      <c r="A1" s="20"/>
      <c r="B1" s="45" t="s">
        <v>1076</v>
      </c>
      <c r="C1" s="45"/>
      <c r="D1" s="45"/>
      <c r="E1" s="45"/>
      <c r="F1" s="45"/>
      <c r="G1" s="45"/>
      <c r="H1" s="44"/>
      <c r="I1" s="44"/>
      <c r="J1" s="44"/>
      <c r="K1" s="44"/>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row>
    <row r="2" spans="1:39" x14ac:dyDescent="0.3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row>
    <row r="3" spans="1:39" x14ac:dyDescent="0.3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row>
    <row r="4" spans="1:39" x14ac:dyDescent="0.3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row>
    <row r="5" spans="1:39"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6" spans="1:39" x14ac:dyDescent="0.3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row>
    <row r="7" spans="1:39" x14ac:dyDescent="0.3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row>
    <row r="8" spans="1:39" x14ac:dyDescent="0.3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row>
    <row r="9" spans="1:39" x14ac:dyDescent="0.3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row>
    <row r="10" spans="1:39" x14ac:dyDescent="0.3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row>
    <row r="11" spans="1:39" x14ac:dyDescent="0.3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row>
    <row r="12" spans="1:39" x14ac:dyDescent="0.3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row>
    <row r="13" spans="1:39" x14ac:dyDescent="0.3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row>
    <row r="14" spans="1:39" x14ac:dyDescent="0.3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row>
    <row r="15" spans="1:39" x14ac:dyDescent="0.3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row>
    <row r="16" spans="1:39" x14ac:dyDescent="0.3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row>
    <row r="17" spans="1:39" x14ac:dyDescent="0.3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row>
    <row r="18" spans="1:39" x14ac:dyDescent="0.3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row>
    <row r="19" spans="1:39" x14ac:dyDescent="0.35">
      <c r="A19" s="20"/>
      <c r="B19" s="20"/>
      <c r="C19" s="20"/>
      <c r="D19" s="20"/>
      <c r="E19" s="20"/>
      <c r="F19" s="20"/>
      <c r="G19" s="20"/>
      <c r="H19" s="20"/>
      <c r="I19" s="20"/>
      <c r="J19" s="20"/>
      <c r="K19" s="20"/>
      <c r="L19" s="20"/>
      <c r="M19" s="20"/>
      <c r="N19" s="20"/>
      <c r="O19" s="31"/>
      <c r="P19" s="40" t="str" cm="1">
        <f t="array" ref="P19:T19">Pivots!B76:F76</f>
        <v>R01</v>
      </c>
      <c r="Q19" s="40" t="str">
        <v>R02</v>
      </c>
      <c r="R19" s="40" t="str">
        <v>R03</v>
      </c>
      <c r="S19" s="40" t="str">
        <v>R04</v>
      </c>
      <c r="T19" s="40" t="str">
        <v>R05</v>
      </c>
      <c r="U19" s="41" t="s">
        <v>1075</v>
      </c>
      <c r="V19" s="20"/>
      <c r="W19" s="20"/>
      <c r="X19" s="20"/>
      <c r="Y19" s="20"/>
      <c r="Z19" s="20"/>
      <c r="AA19" s="20"/>
      <c r="AB19" s="20"/>
      <c r="AC19" s="20"/>
      <c r="AD19" s="20"/>
      <c r="AE19" s="20"/>
      <c r="AF19" s="20"/>
      <c r="AG19" s="20"/>
      <c r="AH19" s="20"/>
      <c r="AI19" s="20"/>
      <c r="AJ19" s="20"/>
      <c r="AK19" s="20"/>
      <c r="AL19" s="20"/>
      <c r="AM19" s="20"/>
    </row>
    <row r="20" spans="1:39" x14ac:dyDescent="0.35">
      <c r="A20" s="20"/>
      <c r="B20" s="20"/>
      <c r="C20" s="20"/>
      <c r="D20" s="20"/>
      <c r="E20" s="20"/>
      <c r="F20" s="20"/>
      <c r="G20" s="20"/>
      <c r="H20" s="20"/>
      <c r="I20" s="20"/>
      <c r="J20" s="20"/>
      <c r="K20" s="20"/>
      <c r="L20" s="20"/>
      <c r="M20" s="20"/>
      <c r="N20" s="20"/>
      <c r="O20" s="42" t="str" cm="1">
        <f t="array" ref="O20:U37">IF(Pivots!A77:G94="","",Pivots!A77:G94)</f>
        <v>Cincinnati</v>
      </c>
      <c r="P20" s="32" t="str">
        <v/>
      </c>
      <c r="Q20" s="32" t="str">
        <v/>
      </c>
      <c r="R20" s="32" t="str">
        <v/>
      </c>
      <c r="S20" s="32" t="str">
        <v/>
      </c>
      <c r="T20" s="32" t="str">
        <v/>
      </c>
      <c r="U20" s="33" t="str">
        <v/>
      </c>
      <c r="V20" s="20"/>
      <c r="W20" s="20"/>
      <c r="X20" s="20"/>
      <c r="Y20" s="20"/>
      <c r="Z20" s="20"/>
      <c r="AA20" s="20"/>
      <c r="AB20" s="20"/>
      <c r="AC20" s="20"/>
      <c r="AD20" s="20"/>
      <c r="AE20" s="20"/>
      <c r="AF20" s="20"/>
      <c r="AG20" s="20"/>
      <c r="AH20" s="20"/>
      <c r="AI20" s="20"/>
      <c r="AJ20" s="20"/>
      <c r="AK20" s="20"/>
      <c r="AL20" s="20"/>
      <c r="AM20" s="20"/>
    </row>
    <row r="21" spans="1:39" x14ac:dyDescent="0.35">
      <c r="A21" s="20"/>
      <c r="B21" s="20"/>
      <c r="C21" s="20"/>
      <c r="D21" s="20"/>
      <c r="E21" s="20"/>
      <c r="F21" s="20"/>
      <c r="G21" s="20"/>
      <c r="H21" s="20"/>
      <c r="I21" s="20"/>
      <c r="J21" s="20"/>
      <c r="K21" s="20"/>
      <c r="L21" s="20"/>
      <c r="M21" s="20"/>
      <c r="N21" s="20"/>
      <c r="O21" s="34" t="str">
        <v>C0003</v>
      </c>
      <c r="P21" s="35">
        <v>891</v>
      </c>
      <c r="Q21" s="35">
        <v>1332</v>
      </c>
      <c r="R21" s="35">
        <v>1282</v>
      </c>
      <c r="S21" s="35">
        <v>739</v>
      </c>
      <c r="T21" s="35">
        <v>560</v>
      </c>
      <c r="U21" s="36">
        <v>4804</v>
      </c>
      <c r="V21" s="20"/>
      <c r="W21" s="20"/>
      <c r="X21" s="20"/>
      <c r="Y21" s="20"/>
      <c r="Z21" s="20"/>
      <c r="AA21" s="20"/>
      <c r="AB21" s="20"/>
      <c r="AC21" s="20"/>
      <c r="AD21" s="20"/>
      <c r="AE21" s="20"/>
      <c r="AF21" s="20"/>
      <c r="AG21" s="20"/>
      <c r="AH21" s="20"/>
      <c r="AI21" s="20"/>
      <c r="AJ21" s="20"/>
      <c r="AK21" s="20"/>
      <c r="AL21" s="20"/>
      <c r="AM21" s="20"/>
    </row>
    <row r="22" spans="1:39" x14ac:dyDescent="0.35">
      <c r="A22" s="20"/>
      <c r="B22" s="20"/>
      <c r="C22" s="20"/>
      <c r="D22" s="20"/>
      <c r="E22" s="20"/>
      <c r="F22" s="20"/>
      <c r="G22" s="20"/>
      <c r="H22" s="20"/>
      <c r="I22" s="20"/>
      <c r="J22" s="20"/>
      <c r="K22" s="20"/>
      <c r="L22" s="20"/>
      <c r="M22" s="20"/>
      <c r="N22" s="20"/>
      <c r="O22" s="34" t="str">
        <v>C0004</v>
      </c>
      <c r="P22" s="35">
        <v>1991</v>
      </c>
      <c r="Q22" s="35">
        <v>1886</v>
      </c>
      <c r="R22" s="35">
        <v>1206</v>
      </c>
      <c r="S22" s="35">
        <v>884</v>
      </c>
      <c r="T22" s="35">
        <v>1722</v>
      </c>
      <c r="U22" s="36">
        <v>7689</v>
      </c>
      <c r="V22" s="20"/>
      <c r="W22" s="20"/>
      <c r="X22" s="20"/>
      <c r="Y22" s="20"/>
      <c r="Z22" s="20"/>
      <c r="AA22" s="20"/>
      <c r="AB22" s="20"/>
      <c r="AC22" s="20"/>
      <c r="AD22" s="20"/>
      <c r="AE22" s="20"/>
      <c r="AF22" s="20"/>
      <c r="AG22" s="20"/>
      <c r="AH22" s="20"/>
      <c r="AI22" s="20"/>
      <c r="AJ22" s="20"/>
      <c r="AK22" s="20"/>
      <c r="AL22" s="20"/>
      <c r="AM22" s="20"/>
    </row>
    <row r="23" spans="1:39" x14ac:dyDescent="0.35">
      <c r="A23" s="20"/>
      <c r="B23" s="20"/>
      <c r="C23" s="20"/>
      <c r="D23" s="20"/>
      <c r="E23" s="20"/>
      <c r="F23" s="20"/>
      <c r="G23" s="20"/>
      <c r="H23" s="20"/>
      <c r="I23" s="20"/>
      <c r="J23" s="20"/>
      <c r="K23" s="20"/>
      <c r="L23" s="20"/>
      <c r="M23" s="20"/>
      <c r="N23" s="20"/>
      <c r="O23" s="34" t="str">
        <v>C0011</v>
      </c>
      <c r="P23" s="35">
        <v>1163</v>
      </c>
      <c r="Q23" s="35">
        <v>1180</v>
      </c>
      <c r="R23" s="35">
        <v>1616</v>
      </c>
      <c r="S23" s="35">
        <v>1043</v>
      </c>
      <c r="T23" s="35">
        <v>1747</v>
      </c>
      <c r="U23" s="36">
        <v>6749</v>
      </c>
      <c r="V23" s="20"/>
      <c r="W23" s="20"/>
      <c r="X23" s="20"/>
      <c r="Y23" s="20"/>
      <c r="Z23" s="20"/>
      <c r="AA23" s="20"/>
      <c r="AB23" s="20"/>
      <c r="AC23" s="20"/>
      <c r="AD23" s="20"/>
      <c r="AE23" s="20"/>
      <c r="AF23" s="20"/>
      <c r="AG23" s="20"/>
      <c r="AH23" s="20"/>
      <c r="AI23" s="20"/>
      <c r="AJ23" s="20"/>
      <c r="AK23" s="20"/>
      <c r="AL23" s="20"/>
      <c r="AM23" s="20"/>
    </row>
    <row r="24" spans="1:39" x14ac:dyDescent="0.35">
      <c r="A24" s="20"/>
      <c r="B24" s="20"/>
      <c r="C24" s="20"/>
      <c r="D24" s="20"/>
      <c r="E24" s="20"/>
      <c r="F24" s="20"/>
      <c r="G24" s="20"/>
      <c r="H24" s="20"/>
      <c r="I24" s="20"/>
      <c r="J24" s="20"/>
      <c r="K24" s="20"/>
      <c r="L24" s="20"/>
      <c r="M24" s="20"/>
      <c r="N24" s="20"/>
      <c r="O24" s="34" t="str">
        <v>C0012</v>
      </c>
      <c r="P24" s="35">
        <v>1438</v>
      </c>
      <c r="Q24" s="35">
        <v>1616</v>
      </c>
      <c r="R24" s="35">
        <v>866</v>
      </c>
      <c r="S24" s="35">
        <v>829</v>
      </c>
      <c r="T24" s="35">
        <v>2070</v>
      </c>
      <c r="U24" s="36">
        <v>6819</v>
      </c>
      <c r="V24" s="20"/>
      <c r="W24" s="20"/>
      <c r="X24" s="20"/>
      <c r="Y24" s="20"/>
      <c r="Z24" s="20"/>
      <c r="AA24" s="20"/>
      <c r="AB24" s="20"/>
      <c r="AC24" s="20"/>
      <c r="AD24" s="20"/>
      <c r="AE24" s="20"/>
      <c r="AF24" s="20"/>
      <c r="AG24" s="20"/>
      <c r="AH24" s="20"/>
      <c r="AI24" s="20"/>
      <c r="AJ24" s="20"/>
      <c r="AK24" s="20"/>
      <c r="AL24" s="20"/>
      <c r="AM24" s="20"/>
    </row>
    <row r="25" spans="1:39" x14ac:dyDescent="0.35">
      <c r="A25" s="20"/>
      <c r="B25" s="20"/>
      <c r="C25" s="20"/>
      <c r="D25" s="20"/>
      <c r="E25" s="20"/>
      <c r="F25" s="20"/>
      <c r="G25" s="20"/>
      <c r="H25" s="20"/>
      <c r="I25" s="20"/>
      <c r="J25" s="20"/>
      <c r="K25" s="20"/>
      <c r="L25" s="20"/>
      <c r="M25" s="20"/>
      <c r="N25" s="20"/>
      <c r="O25" s="43" t="str">
        <v>Cleveland</v>
      </c>
      <c r="P25" s="35" t="str">
        <v/>
      </c>
      <c r="Q25" s="35" t="str">
        <v/>
      </c>
      <c r="R25" s="35" t="str">
        <v/>
      </c>
      <c r="S25" s="35" t="str">
        <v/>
      </c>
      <c r="T25" s="35" t="str">
        <v/>
      </c>
      <c r="U25" s="36" t="str">
        <v/>
      </c>
      <c r="V25" s="20"/>
      <c r="W25" s="20"/>
      <c r="X25" s="20"/>
      <c r="Y25" s="20"/>
      <c r="Z25" s="20"/>
      <c r="AA25" s="20"/>
      <c r="AB25" s="20"/>
      <c r="AC25" s="20"/>
      <c r="AD25" s="20"/>
      <c r="AE25" s="20"/>
      <c r="AF25" s="20"/>
      <c r="AG25" s="20"/>
      <c r="AH25" s="20"/>
      <c r="AI25" s="20"/>
      <c r="AJ25" s="20"/>
      <c r="AK25" s="20"/>
      <c r="AL25" s="20"/>
      <c r="AM25" s="20"/>
    </row>
    <row r="26" spans="1:39" x14ac:dyDescent="0.35">
      <c r="A26" s="20"/>
      <c r="B26" s="20"/>
      <c r="C26" s="20"/>
      <c r="D26" s="20"/>
      <c r="E26" s="20"/>
      <c r="F26" s="20"/>
      <c r="G26" s="20"/>
      <c r="H26" s="20"/>
      <c r="I26" s="20"/>
      <c r="J26" s="20"/>
      <c r="K26" s="20"/>
      <c r="L26" s="20"/>
      <c r="M26" s="20"/>
      <c r="N26" s="20"/>
      <c r="O26" s="34" t="str">
        <v>C0002</v>
      </c>
      <c r="P26" s="35">
        <v>1233</v>
      </c>
      <c r="Q26" s="35">
        <v>223</v>
      </c>
      <c r="R26" s="35">
        <v>1680</v>
      </c>
      <c r="S26" s="35">
        <v>990</v>
      </c>
      <c r="T26" s="35">
        <v>1508</v>
      </c>
      <c r="U26" s="36">
        <v>5634</v>
      </c>
      <c r="V26" s="20"/>
      <c r="W26" s="20"/>
      <c r="X26" s="20"/>
      <c r="Y26" s="20"/>
      <c r="Z26" s="20"/>
      <c r="AA26" s="20"/>
      <c r="AB26" s="20"/>
      <c r="AC26" s="20"/>
      <c r="AD26" s="20"/>
      <c r="AE26" s="20"/>
      <c r="AF26" s="20"/>
      <c r="AG26" s="20"/>
      <c r="AH26" s="20"/>
      <c r="AI26" s="20"/>
      <c r="AJ26" s="20"/>
      <c r="AK26" s="20"/>
      <c r="AL26" s="20"/>
      <c r="AM26" s="20"/>
    </row>
    <row r="27" spans="1:39" x14ac:dyDescent="0.35">
      <c r="A27" s="20"/>
      <c r="B27" s="20"/>
      <c r="C27" s="20"/>
      <c r="D27" s="20"/>
      <c r="E27" s="20"/>
      <c r="F27" s="20"/>
      <c r="G27" s="20"/>
      <c r="H27" s="20"/>
      <c r="I27" s="20"/>
      <c r="J27" s="20"/>
      <c r="K27" s="20"/>
      <c r="L27" s="20"/>
      <c r="M27" s="20"/>
      <c r="N27" s="30"/>
      <c r="O27" s="34" t="str">
        <v>C0007</v>
      </c>
      <c r="P27" s="35">
        <v>1598</v>
      </c>
      <c r="Q27" s="35">
        <v>1907</v>
      </c>
      <c r="R27" s="35">
        <v>869</v>
      </c>
      <c r="S27" s="35">
        <v>1426</v>
      </c>
      <c r="T27" s="35">
        <v>1416</v>
      </c>
      <c r="U27" s="36">
        <v>7216</v>
      </c>
      <c r="V27" s="20"/>
      <c r="W27" s="20"/>
      <c r="X27" s="20"/>
      <c r="Y27" s="20"/>
      <c r="Z27" s="20"/>
      <c r="AA27" s="20"/>
      <c r="AB27" s="20"/>
      <c r="AC27" s="20"/>
      <c r="AD27" s="20"/>
      <c r="AE27" s="20"/>
      <c r="AF27" s="20"/>
      <c r="AG27" s="20"/>
      <c r="AH27" s="20"/>
      <c r="AI27" s="20"/>
      <c r="AJ27" s="20"/>
      <c r="AK27" s="20"/>
      <c r="AL27" s="20"/>
      <c r="AM27" s="20"/>
    </row>
    <row r="28" spans="1:39" x14ac:dyDescent="0.35">
      <c r="A28" s="20"/>
      <c r="B28" s="20"/>
      <c r="C28" s="20"/>
      <c r="D28" s="20"/>
      <c r="E28" s="20"/>
      <c r="F28" s="20"/>
      <c r="G28" s="20"/>
      <c r="H28" s="20"/>
      <c r="I28" s="20"/>
      <c r="J28" s="20"/>
      <c r="K28" s="20"/>
      <c r="L28" s="20"/>
      <c r="M28" s="20"/>
      <c r="N28" s="30"/>
      <c r="O28" s="34" t="str">
        <v>C0008</v>
      </c>
      <c r="P28" s="35">
        <v>900</v>
      </c>
      <c r="Q28" s="35">
        <v>1016</v>
      </c>
      <c r="R28" s="35">
        <v>960</v>
      </c>
      <c r="S28" s="35">
        <v>940</v>
      </c>
      <c r="T28" s="35">
        <v>1193</v>
      </c>
      <c r="U28" s="36">
        <v>5009</v>
      </c>
      <c r="V28" s="20"/>
      <c r="W28" s="20"/>
      <c r="X28" s="20"/>
      <c r="Y28" s="20"/>
      <c r="Z28" s="20"/>
      <c r="AA28" s="20"/>
      <c r="AB28" s="20"/>
      <c r="AC28" s="20"/>
      <c r="AD28" s="20"/>
      <c r="AE28" s="20"/>
      <c r="AF28" s="20"/>
      <c r="AG28" s="20"/>
      <c r="AH28" s="20"/>
      <c r="AI28" s="20"/>
      <c r="AJ28" s="20"/>
      <c r="AK28" s="20"/>
      <c r="AL28" s="20"/>
      <c r="AM28" s="20"/>
    </row>
    <row r="29" spans="1:39" x14ac:dyDescent="0.35">
      <c r="A29" s="20"/>
      <c r="B29" s="20"/>
      <c r="C29" s="20"/>
      <c r="D29" s="20"/>
      <c r="E29" s="20"/>
      <c r="F29" s="20"/>
      <c r="G29" s="20"/>
      <c r="H29" s="20"/>
      <c r="I29" s="20"/>
      <c r="J29" s="20"/>
      <c r="K29" s="20"/>
      <c r="L29" s="20"/>
      <c r="M29" s="20"/>
      <c r="N29" s="30"/>
      <c r="O29" s="34" t="str">
        <v>C0010</v>
      </c>
      <c r="P29" s="35">
        <v>900</v>
      </c>
      <c r="Q29" s="35">
        <v>1470</v>
      </c>
      <c r="R29" s="35">
        <v>1617</v>
      </c>
      <c r="S29" s="35">
        <v>1314</v>
      </c>
      <c r="T29" s="35">
        <v>941</v>
      </c>
      <c r="U29" s="36">
        <v>6242</v>
      </c>
      <c r="V29" s="20"/>
      <c r="W29" s="20"/>
      <c r="X29" s="20"/>
      <c r="Y29" s="20"/>
      <c r="Z29" s="20"/>
      <c r="AA29" s="20"/>
      <c r="AB29" s="20"/>
      <c r="AC29" s="20"/>
      <c r="AD29" s="20"/>
      <c r="AE29" s="20"/>
      <c r="AF29" s="20"/>
      <c r="AG29" s="20"/>
      <c r="AH29" s="20"/>
      <c r="AI29" s="20"/>
      <c r="AJ29" s="20"/>
      <c r="AK29" s="20"/>
      <c r="AL29" s="20"/>
      <c r="AM29" s="20"/>
    </row>
    <row r="30" spans="1:39" x14ac:dyDescent="0.35">
      <c r="A30" s="20"/>
      <c r="B30" s="20"/>
      <c r="C30" s="20"/>
      <c r="D30" s="20"/>
      <c r="E30" s="20"/>
      <c r="F30" s="20"/>
      <c r="G30" s="20"/>
      <c r="H30" s="20"/>
      <c r="I30" s="20"/>
      <c r="J30" s="20"/>
      <c r="K30" s="20"/>
      <c r="L30" s="20"/>
      <c r="M30" s="20"/>
      <c r="N30" s="30"/>
      <c r="O30" s="34" t="str">
        <v>C0013</v>
      </c>
      <c r="P30" s="35">
        <v>1255</v>
      </c>
      <c r="Q30" s="35">
        <v>516</v>
      </c>
      <c r="R30" s="35">
        <v>1874</v>
      </c>
      <c r="S30" s="35">
        <v>1863</v>
      </c>
      <c r="T30" s="35">
        <v>1722</v>
      </c>
      <c r="U30" s="36">
        <v>7230</v>
      </c>
      <c r="V30" s="20"/>
      <c r="W30" s="20"/>
      <c r="X30" s="20"/>
      <c r="Y30" s="20"/>
      <c r="Z30" s="20"/>
      <c r="AA30" s="20"/>
      <c r="AB30" s="20"/>
      <c r="AC30" s="20"/>
      <c r="AD30" s="20"/>
      <c r="AE30" s="20"/>
      <c r="AF30" s="20"/>
      <c r="AG30" s="20"/>
      <c r="AH30" s="20"/>
      <c r="AI30" s="20"/>
      <c r="AJ30" s="20"/>
      <c r="AK30" s="20"/>
      <c r="AL30" s="20"/>
      <c r="AM30" s="20"/>
    </row>
    <row r="31" spans="1:39" x14ac:dyDescent="0.35">
      <c r="A31" s="20"/>
      <c r="B31" s="20"/>
      <c r="C31" s="20"/>
      <c r="D31" s="20"/>
      <c r="E31" s="20"/>
      <c r="F31" s="20"/>
      <c r="G31" s="20"/>
      <c r="H31" s="20"/>
      <c r="I31" s="20"/>
      <c r="J31" s="20"/>
      <c r="K31" s="20"/>
      <c r="L31" s="20"/>
      <c r="M31" s="20"/>
      <c r="N31" s="30"/>
      <c r="O31" s="34" t="str">
        <v>C0015</v>
      </c>
      <c r="P31" s="35">
        <v>1138</v>
      </c>
      <c r="Q31" s="35">
        <v>1898</v>
      </c>
      <c r="R31" s="35">
        <v>1482</v>
      </c>
      <c r="S31" s="35">
        <v>846</v>
      </c>
      <c r="T31" s="35">
        <v>1154</v>
      </c>
      <c r="U31" s="36">
        <v>6518</v>
      </c>
      <c r="V31" s="20"/>
      <c r="W31" s="20"/>
      <c r="X31" s="20"/>
      <c r="Y31" s="20"/>
      <c r="Z31" s="20"/>
      <c r="AA31" s="20"/>
      <c r="AB31" s="20"/>
      <c r="AC31" s="20"/>
      <c r="AD31" s="20"/>
      <c r="AE31" s="20"/>
      <c r="AF31" s="20"/>
      <c r="AG31" s="20"/>
      <c r="AH31" s="20"/>
      <c r="AI31" s="20"/>
      <c r="AJ31" s="20"/>
      <c r="AK31" s="20"/>
      <c r="AL31" s="20"/>
      <c r="AM31" s="20"/>
    </row>
    <row r="32" spans="1:39" x14ac:dyDescent="0.35">
      <c r="A32" s="20"/>
      <c r="B32" s="20"/>
      <c r="C32" s="20"/>
      <c r="D32" s="20"/>
      <c r="E32" s="20"/>
      <c r="F32" s="20"/>
      <c r="G32" s="20"/>
      <c r="H32" s="20"/>
      <c r="I32" s="20"/>
      <c r="J32" s="20"/>
      <c r="K32" s="20"/>
      <c r="L32" s="20"/>
      <c r="M32" s="20"/>
      <c r="N32" s="30"/>
      <c r="O32" s="43" t="str">
        <v>Columbus</v>
      </c>
      <c r="P32" s="35" t="str">
        <v/>
      </c>
      <c r="Q32" s="35" t="str">
        <v/>
      </c>
      <c r="R32" s="35" t="str">
        <v/>
      </c>
      <c r="S32" s="35" t="str">
        <v/>
      </c>
      <c r="T32" s="35" t="str">
        <v/>
      </c>
      <c r="U32" s="36" t="str">
        <v/>
      </c>
      <c r="V32" s="20"/>
      <c r="W32" s="20"/>
      <c r="X32" s="20"/>
      <c r="Y32" s="20"/>
      <c r="Z32" s="20"/>
      <c r="AA32" s="20"/>
      <c r="AB32" s="20"/>
      <c r="AC32" s="20"/>
      <c r="AD32" s="20"/>
      <c r="AE32" s="20"/>
      <c r="AF32" s="20"/>
      <c r="AG32" s="20"/>
      <c r="AH32" s="20"/>
      <c r="AI32" s="20"/>
      <c r="AJ32" s="20"/>
      <c r="AK32" s="20"/>
      <c r="AL32" s="20"/>
      <c r="AM32" s="20"/>
    </row>
    <row r="33" spans="1:39" x14ac:dyDescent="0.35">
      <c r="A33" s="20"/>
      <c r="B33" s="20"/>
      <c r="C33" s="20"/>
      <c r="D33" s="20"/>
      <c r="E33" s="20"/>
      <c r="F33" s="20"/>
      <c r="G33" s="20"/>
      <c r="H33" s="20"/>
      <c r="I33" s="20"/>
      <c r="J33" s="20"/>
      <c r="K33" s="20"/>
      <c r="L33" s="20"/>
      <c r="M33" s="20"/>
      <c r="N33" s="20"/>
      <c r="O33" s="34" t="str">
        <v>C0001</v>
      </c>
      <c r="P33" s="35">
        <v>1655</v>
      </c>
      <c r="Q33" s="35">
        <v>805</v>
      </c>
      <c r="R33" s="35">
        <v>2263</v>
      </c>
      <c r="S33" s="35">
        <v>987</v>
      </c>
      <c r="T33" s="35">
        <v>1075</v>
      </c>
      <c r="U33" s="36">
        <v>6785</v>
      </c>
      <c r="V33" s="20"/>
      <c r="W33" s="20"/>
      <c r="X33" s="20"/>
      <c r="Y33" s="20"/>
      <c r="Z33" s="20"/>
      <c r="AA33" s="20"/>
      <c r="AB33" s="20"/>
      <c r="AC33" s="20"/>
      <c r="AD33" s="20"/>
      <c r="AE33" s="20"/>
      <c r="AF33" s="20"/>
      <c r="AG33" s="20"/>
      <c r="AH33" s="20"/>
      <c r="AI33" s="20"/>
      <c r="AJ33" s="20"/>
      <c r="AK33" s="20"/>
      <c r="AL33" s="20"/>
      <c r="AM33" s="20"/>
    </row>
    <row r="34" spans="1:39" x14ac:dyDescent="0.35">
      <c r="A34" s="20"/>
      <c r="B34" s="20"/>
      <c r="C34" s="20"/>
      <c r="D34" s="20"/>
      <c r="E34" s="20"/>
      <c r="F34" s="20"/>
      <c r="G34" s="20"/>
      <c r="H34" s="20"/>
      <c r="I34" s="20"/>
      <c r="J34" s="20"/>
      <c r="K34" s="20"/>
      <c r="L34" s="20"/>
      <c r="M34" s="20"/>
      <c r="N34" s="20"/>
      <c r="O34" s="34" t="str">
        <v>C0005</v>
      </c>
      <c r="P34" s="35">
        <v>1104</v>
      </c>
      <c r="Q34" s="35">
        <v>2280</v>
      </c>
      <c r="R34" s="35">
        <v>1445</v>
      </c>
      <c r="S34" s="35">
        <v>1722</v>
      </c>
      <c r="T34" s="35">
        <v>1196</v>
      </c>
      <c r="U34" s="36">
        <v>7747</v>
      </c>
      <c r="V34" s="20"/>
      <c r="W34" s="20"/>
      <c r="X34" s="20"/>
      <c r="Y34" s="20"/>
      <c r="Z34" s="20"/>
      <c r="AA34" s="20"/>
      <c r="AB34" s="20"/>
      <c r="AC34" s="20"/>
      <c r="AD34" s="20"/>
      <c r="AE34" s="20"/>
      <c r="AF34" s="20"/>
      <c r="AG34" s="20"/>
      <c r="AH34" s="20"/>
      <c r="AI34" s="20"/>
      <c r="AJ34" s="20"/>
      <c r="AK34" s="20"/>
      <c r="AL34" s="20"/>
      <c r="AM34" s="20"/>
    </row>
    <row r="35" spans="1:39" x14ac:dyDescent="0.35">
      <c r="A35" s="20"/>
      <c r="B35" s="20"/>
      <c r="C35" s="20"/>
      <c r="D35" s="20"/>
      <c r="E35" s="20"/>
      <c r="F35" s="20"/>
      <c r="G35" s="20"/>
      <c r="H35" s="20"/>
      <c r="I35" s="20"/>
      <c r="J35" s="20"/>
      <c r="K35" s="20"/>
      <c r="L35" s="20"/>
      <c r="M35" s="20"/>
      <c r="N35" s="20"/>
      <c r="O35" s="34" t="str">
        <v>C0006</v>
      </c>
      <c r="P35" s="35">
        <v>372</v>
      </c>
      <c r="Q35" s="35">
        <v>1818</v>
      </c>
      <c r="R35" s="35">
        <v>1346</v>
      </c>
      <c r="S35" s="35">
        <v>1156</v>
      </c>
      <c r="T35" s="35">
        <v>1484</v>
      </c>
      <c r="U35" s="36">
        <v>6176</v>
      </c>
      <c r="V35" s="20"/>
      <c r="W35" s="20"/>
      <c r="X35" s="20"/>
      <c r="Y35" s="20"/>
      <c r="Z35" s="20"/>
      <c r="AA35" s="20"/>
      <c r="AB35" s="20"/>
      <c r="AC35" s="20"/>
      <c r="AD35" s="20"/>
      <c r="AE35" s="20"/>
      <c r="AF35" s="20"/>
      <c r="AG35" s="20"/>
      <c r="AH35" s="20"/>
      <c r="AI35" s="20"/>
      <c r="AJ35" s="20"/>
      <c r="AK35" s="20"/>
      <c r="AL35" s="20"/>
      <c r="AM35" s="20"/>
    </row>
    <row r="36" spans="1:39" x14ac:dyDescent="0.35">
      <c r="A36" s="20"/>
      <c r="B36" s="20"/>
      <c r="C36" s="20"/>
      <c r="D36" s="20"/>
      <c r="E36" s="20"/>
      <c r="F36" s="20"/>
      <c r="G36" s="20"/>
      <c r="H36" s="20"/>
      <c r="I36" s="20"/>
      <c r="J36" s="20"/>
      <c r="K36" s="20"/>
      <c r="L36" s="20"/>
      <c r="M36" s="20"/>
      <c r="N36" s="20"/>
      <c r="O36" s="34" t="str">
        <v>C0009</v>
      </c>
      <c r="P36" s="35">
        <v>1415</v>
      </c>
      <c r="Q36" s="35">
        <v>1271</v>
      </c>
      <c r="R36" s="35">
        <v>1214</v>
      </c>
      <c r="S36" s="35">
        <v>1135</v>
      </c>
      <c r="T36" s="35">
        <v>1566</v>
      </c>
      <c r="U36" s="36">
        <v>6601</v>
      </c>
      <c r="V36" s="20"/>
      <c r="W36" s="20"/>
      <c r="X36" s="20"/>
      <c r="Y36" s="20"/>
      <c r="Z36" s="20"/>
      <c r="AA36" s="20"/>
      <c r="AB36" s="20"/>
      <c r="AC36" s="20"/>
      <c r="AD36" s="20"/>
      <c r="AE36" s="20"/>
      <c r="AF36" s="20"/>
      <c r="AG36" s="20"/>
      <c r="AH36" s="20"/>
      <c r="AI36" s="20"/>
      <c r="AJ36" s="20"/>
      <c r="AK36" s="20"/>
      <c r="AL36" s="20"/>
      <c r="AM36" s="20"/>
    </row>
    <row r="37" spans="1:39" x14ac:dyDescent="0.35">
      <c r="A37" s="20"/>
      <c r="B37" s="20"/>
      <c r="C37" s="20"/>
      <c r="D37" s="20"/>
      <c r="E37" s="20"/>
      <c r="F37" s="20"/>
      <c r="G37" s="20"/>
      <c r="H37" s="20"/>
      <c r="I37" s="20"/>
      <c r="J37" s="20"/>
      <c r="K37" s="20"/>
      <c r="L37" s="20"/>
      <c r="M37" s="20"/>
      <c r="N37" s="20"/>
      <c r="O37" s="37" t="str">
        <v>C0014</v>
      </c>
      <c r="P37" s="38">
        <v>1362</v>
      </c>
      <c r="Q37" s="38">
        <v>1363</v>
      </c>
      <c r="R37" s="38">
        <v>1152</v>
      </c>
      <c r="S37" s="38">
        <v>777</v>
      </c>
      <c r="T37" s="38">
        <v>750</v>
      </c>
      <c r="U37" s="39">
        <v>5404</v>
      </c>
      <c r="V37" s="20"/>
      <c r="W37" s="20"/>
      <c r="X37" s="20"/>
      <c r="Y37" s="20"/>
      <c r="Z37" s="20"/>
      <c r="AA37" s="20"/>
      <c r="AB37" s="20"/>
      <c r="AC37" s="20"/>
      <c r="AD37" s="20"/>
      <c r="AE37" s="20"/>
      <c r="AF37" s="20"/>
      <c r="AG37" s="20"/>
      <c r="AH37" s="20"/>
      <c r="AI37" s="20"/>
      <c r="AJ37" s="20"/>
      <c r="AK37" s="20"/>
      <c r="AL37" s="20"/>
      <c r="AM37" s="20"/>
    </row>
    <row r="38" spans="1:39" x14ac:dyDescent="0.3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row>
    <row r="39" spans="1:39" x14ac:dyDescent="0.3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row>
    <row r="40" spans="1:39" x14ac:dyDescent="0.3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row>
    <row r="41" spans="1:39" x14ac:dyDescent="0.3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row>
    <row r="42" spans="1:39" x14ac:dyDescent="0.3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row>
    <row r="43" spans="1:39" x14ac:dyDescent="0.3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row>
    <row r="44" spans="1:39" x14ac:dyDescent="0.3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row>
    <row r="45" spans="1:39" x14ac:dyDescent="0.3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row>
    <row r="46" spans="1:39" x14ac:dyDescent="0.3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row>
    <row r="47" spans="1:39" x14ac:dyDescent="0.3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row>
    <row r="48" spans="1:39" x14ac:dyDescent="0.3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row>
    <row r="49" spans="1:39" x14ac:dyDescent="0.3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row>
    <row r="50" spans="1:39" x14ac:dyDescent="0.3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row>
    <row r="51" spans="1:39" x14ac:dyDescent="0.3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row>
    <row r="52" spans="1:39" x14ac:dyDescent="0.3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row>
    <row r="53" spans="1:39" x14ac:dyDescent="0.3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row>
    <row r="54" spans="1:39" x14ac:dyDescent="0.3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row>
    <row r="55" spans="1:39" x14ac:dyDescent="0.3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row>
    <row r="56" spans="1:39" x14ac:dyDescent="0.3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row>
    <row r="57" spans="1:39" x14ac:dyDescent="0.3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row>
    <row r="58" spans="1:39" x14ac:dyDescent="0.3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row>
    <row r="59" spans="1:39" x14ac:dyDescent="0.3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row>
    <row r="60" spans="1:39" x14ac:dyDescent="0.3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row>
    <row r="61" spans="1:39" x14ac:dyDescent="0.3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row>
    <row r="62" spans="1:39" x14ac:dyDescent="0.3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row>
    <row r="63" spans="1:39" x14ac:dyDescent="0.3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row>
    <row r="64" spans="1:39" x14ac:dyDescent="0.3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row>
    <row r="65" spans="1:39" x14ac:dyDescent="0.3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row>
    <row r="66" spans="1:39" x14ac:dyDescent="0.3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row>
    <row r="67" spans="1:39" x14ac:dyDescent="0.3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row>
    <row r="68" spans="1:39" x14ac:dyDescent="0.3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row>
    <row r="69" spans="1:39" x14ac:dyDescent="0.3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row>
    <row r="70" spans="1:39" x14ac:dyDescent="0.3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row>
    <row r="71" spans="1:39" x14ac:dyDescent="0.3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row>
    <row r="72" spans="1:39" x14ac:dyDescent="0.3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row>
    <row r="73" spans="1:39" x14ac:dyDescent="0.3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row>
    <row r="74" spans="1:39" x14ac:dyDescent="0.3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row>
    <row r="75" spans="1:39" x14ac:dyDescent="0.3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row>
    <row r="76" spans="1:39" x14ac:dyDescent="0.3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row>
    <row r="77" spans="1:39" x14ac:dyDescent="0.3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row>
    <row r="78" spans="1:39" x14ac:dyDescent="0.3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row>
    <row r="79" spans="1:39" x14ac:dyDescent="0.3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row>
    <row r="80" spans="1:39" x14ac:dyDescent="0.3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row>
    <row r="81" spans="1:39" x14ac:dyDescent="0.3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row>
    <row r="82" spans="1:39" x14ac:dyDescent="0.3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row>
    <row r="83" spans="1:39" x14ac:dyDescent="0.3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row>
    <row r="84" spans="1:39" x14ac:dyDescent="0.3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row>
    <row r="85" spans="1:39" x14ac:dyDescent="0.3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row>
    <row r="86" spans="1:39" x14ac:dyDescent="0.3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row>
    <row r="87" spans="1:39" x14ac:dyDescent="0.3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row>
    <row r="88" spans="1:39" x14ac:dyDescent="0.3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row>
    <row r="89" spans="1:39" x14ac:dyDescent="0.3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row>
  </sheetData>
  <conditionalFormatting sqref="P20:T37">
    <cfRule type="dataBar" priority="2">
      <dataBar>
        <cfvo type="num" val="0"/>
        <cfvo type="formula" val="MAX($P$20:$T$37)*2"/>
        <color rgb="FF638EC6"/>
      </dataBar>
      <extLst>
        <ext xmlns:x14="http://schemas.microsoft.com/office/spreadsheetml/2009/9/main" uri="{B025F937-C7B1-47D3-B67F-A62EFF666E3E}">
          <x14:id>{F5E865CC-8E0F-4207-A792-529F97AA42CF}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5E865CC-8E0F-4207-A792-529F97AA42CF}">
            <x14:dataBar minLength="0" maxLength="100" gradient="0">
              <x14:cfvo type="num">
                <xm:f>0</xm:f>
              </x14:cfvo>
              <x14:cfvo type="formula">
                <xm:f>MAX($P$20:$T$37)*2</xm:f>
              </x14:cfvo>
              <x14:negativeFillColor rgb="FFFF0000"/>
              <x14:axisColor rgb="FF000000"/>
            </x14:dataBar>
          </x14:cfRule>
          <xm:sqref>P20:T37</xm:sqref>
        </x14:conditionalFormatting>
        <x14:conditionalFormatting xmlns:xm="http://schemas.microsoft.com/office/excel/2006/main">
          <x14:cfRule type="expression" priority="3" id="{535A998C-6488-49D2-9DEA-04B4A07B999C}">
            <xm:f>P$19=Pivots!$A$49</xm:f>
            <x14:dxf>
              <fill>
                <patternFill>
                  <bgColor theme="9" tint="0.39994506668294322"/>
                </patternFill>
              </fill>
              <border>
                <left style="thin">
                  <color rgb="FF002060"/>
                </left>
                <right style="thin">
                  <color rgb="FF002060"/>
                </right>
                <top style="thin">
                  <color rgb="FF002060"/>
                </top>
                <bottom style="thin">
                  <color rgb="FF002060"/>
                </bottom>
              </border>
            </x14:dxf>
          </x14:cfRule>
          <xm:sqref>P19:T37</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3:A7"/>
  <sheetViews>
    <sheetView tabSelected="1" topLeftCell="B1" zoomScale="115" zoomScaleNormal="115" workbookViewId="0">
      <selection activeCell="G10" sqref="G10"/>
    </sheetView>
  </sheetViews>
  <sheetFormatPr defaultRowHeight="14.5" x14ac:dyDescent="0.35"/>
  <cols>
    <col min="5" max="5" width="10.83203125" customWidth="1"/>
    <col min="6" max="6" width="9.83203125" customWidth="1"/>
  </cols>
  <sheetData>
    <row r="3" ht="25.5" customHeight="1" x14ac:dyDescent="0.35"/>
    <row r="4" ht="25.5" customHeight="1" x14ac:dyDescent="0.35"/>
    <row r="5" ht="25.5" customHeight="1" x14ac:dyDescent="0.35"/>
    <row r="6" ht="25.5" customHeight="1" x14ac:dyDescent="0.35"/>
    <row r="7" ht="25.5" customHeight="1"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Geetha Pranathi Kanala</cp:lastModifiedBy>
  <dcterms:created xsi:type="dcterms:W3CDTF">2021-03-14T20:21:32Z</dcterms:created>
  <dcterms:modified xsi:type="dcterms:W3CDTF">2026-02-03T10:25:59Z</dcterms:modified>
</cp:coreProperties>
</file>